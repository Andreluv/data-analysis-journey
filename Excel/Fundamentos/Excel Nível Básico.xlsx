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 Básico\"/>
    </mc:Choice>
  </mc:AlternateContent>
  <bookViews>
    <workbookView xWindow="-105" yWindow="0" windowWidth="34605" windowHeight="19560" tabRatio="820" firstSheet="8" activeTab="12"/>
  </bookViews>
  <sheets>
    <sheet name="Planilha1" sheetId="1" r:id="rId1"/>
    <sheet name="1° exercício Formataçao de text" sheetId="4" r:id="rId2"/>
    <sheet name="2°  Congelar linha " sheetId="5" r:id="rId3"/>
    <sheet name="3° Congelar coluna" sheetId="6" r:id="rId4"/>
    <sheet name="Gráf1" sheetId="18" r:id="rId5"/>
    <sheet name="4° Funcoes Matematicas" sheetId="7" r:id="rId6"/>
    <sheet name="5° F.Valores" sheetId="8" r:id="rId7"/>
    <sheet name="6° % no Excel" sheetId="10" r:id="rId8"/>
    <sheet name="7° Relativas e Absolutas" sheetId="11" r:id="rId9"/>
    <sheet name="8° Data  " sheetId="12" r:id="rId10"/>
    <sheet name="9° Localizar" sheetId="13" r:id="rId11"/>
    <sheet name="10° MAIÚSCULA &amp; MINUSCULA" sheetId="14" r:id="rId12"/>
    <sheet name="11° Concatenar" sheetId="15" r:id="rId13"/>
    <sheet name="12°Agora" sheetId="16" r:id="rId14"/>
    <sheet name="13° Hora" sheetId="17" r:id="rId15"/>
  </sheets>
  <definedNames>
    <definedName name="_xlnm._FilterDatabase" localSheetId="5" hidden="1">'4° Funcoes Matematicas'!$A$1:$I$20</definedName>
    <definedName name="_xlnm._FilterDatabase" localSheetId="6" hidden="1">'5° F.Valores'!$A$2:$F$21</definedName>
    <definedName name="_xlnm._FilterDatabase" localSheetId="10" hidden="1">'9° Localizar'!$A$2:$E$87</definedName>
    <definedName name="Z_15420BEE_D5D7_4ED4_9BAB_18A5F2EF42EB_.wvu.FilterData" localSheetId="6" hidden="1">'5° F.Valores'!$A$2:$F$21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5" l="1"/>
  <c r="B9" i="15"/>
  <c r="C16" i="15" l="1"/>
  <c r="C15" i="15"/>
  <c r="C17" i="15"/>
  <c r="C3" i="15"/>
  <c r="C4" i="15"/>
  <c r="C2" i="15"/>
  <c r="A13" i="17"/>
  <c r="B13" i="17" s="1"/>
  <c r="B7" i="16"/>
  <c r="A18" i="16"/>
  <c r="B6" i="16"/>
  <c r="B4" i="16"/>
  <c r="B5" i="16"/>
  <c r="B3" i="16"/>
  <c r="J3" i="12" l="1"/>
  <c r="I3" i="12" s="1"/>
  <c r="F4" i="12"/>
  <c r="F5" i="12"/>
  <c r="F6" i="12"/>
  <c r="F7" i="12"/>
  <c r="F8" i="12"/>
  <c r="F9" i="12"/>
  <c r="F10" i="12"/>
  <c r="F11" i="12"/>
  <c r="F3" i="12"/>
  <c r="E4" i="12"/>
  <c r="E5" i="12"/>
  <c r="E6" i="12"/>
  <c r="E7" i="12"/>
  <c r="E8" i="12"/>
  <c r="E9" i="12"/>
  <c r="E10" i="12"/>
  <c r="E11" i="12"/>
  <c r="E3" i="12"/>
  <c r="D4" i="12"/>
  <c r="D5" i="12"/>
  <c r="D6" i="12"/>
  <c r="D7" i="12"/>
  <c r="D8" i="12"/>
  <c r="D9" i="12"/>
  <c r="D10" i="12"/>
  <c r="D11" i="12"/>
  <c r="C4" i="12"/>
  <c r="C5" i="12"/>
  <c r="C6" i="12"/>
  <c r="C7" i="12"/>
  <c r="C8" i="12"/>
  <c r="C9" i="12"/>
  <c r="C10" i="12"/>
  <c r="C11" i="12"/>
  <c r="B4" i="12"/>
  <c r="B5" i="12"/>
  <c r="B6" i="12"/>
  <c r="B7" i="12"/>
  <c r="B8" i="12"/>
  <c r="B9" i="12"/>
  <c r="B10" i="12"/>
  <c r="B11" i="12"/>
  <c r="D3" i="12"/>
  <c r="C3" i="12"/>
  <c r="B3" i="12"/>
  <c r="F49" i="11"/>
  <c r="C47" i="11"/>
  <c r="D46" i="11"/>
  <c r="E46" i="11"/>
  <c r="F46" i="11"/>
  <c r="G46" i="11"/>
  <c r="D47" i="11"/>
  <c r="E47" i="11"/>
  <c r="F47" i="11"/>
  <c r="G47" i="11"/>
  <c r="D48" i="11"/>
  <c r="E48" i="11"/>
  <c r="F48" i="11"/>
  <c r="G48" i="11"/>
  <c r="D49" i="11"/>
  <c r="E49" i="11"/>
  <c r="G49" i="11"/>
  <c r="D50" i="11"/>
  <c r="E50" i="11"/>
  <c r="F50" i="11"/>
  <c r="G50" i="11"/>
  <c r="D51" i="11"/>
  <c r="E51" i="11"/>
  <c r="F51" i="11"/>
  <c r="G51" i="11"/>
  <c r="C48" i="11"/>
  <c r="C49" i="11"/>
  <c r="C50" i="11"/>
  <c r="C51" i="11"/>
  <c r="C46" i="11"/>
  <c r="G29" i="11"/>
  <c r="B30" i="11"/>
  <c r="C30" i="11"/>
  <c r="D30" i="11"/>
  <c r="E30" i="11"/>
  <c r="F30" i="11"/>
  <c r="G30" i="11"/>
  <c r="B31" i="11"/>
  <c r="C31" i="11"/>
  <c r="D31" i="11"/>
  <c r="E31" i="11"/>
  <c r="F31" i="11"/>
  <c r="G31" i="11"/>
  <c r="B32" i="11"/>
  <c r="C32" i="11"/>
  <c r="D32" i="11"/>
  <c r="E32" i="11"/>
  <c r="F32" i="11"/>
  <c r="G32" i="11"/>
  <c r="B33" i="11"/>
  <c r="C33" i="11"/>
  <c r="D33" i="11"/>
  <c r="E33" i="11"/>
  <c r="F33" i="11"/>
  <c r="G33" i="11"/>
  <c r="B34" i="11"/>
  <c r="C34" i="11"/>
  <c r="D34" i="11"/>
  <c r="E34" i="11"/>
  <c r="F34" i="11"/>
  <c r="G34" i="11"/>
  <c r="C29" i="11"/>
  <c r="D29" i="11"/>
  <c r="E29" i="11"/>
  <c r="F29" i="11"/>
  <c r="B29" i="11"/>
  <c r="B14" i="11"/>
  <c r="C14" i="11"/>
  <c r="D14" i="11"/>
  <c r="E14" i="11"/>
  <c r="F14" i="11"/>
  <c r="G14" i="11"/>
  <c r="B15" i="11"/>
  <c r="C15" i="11"/>
  <c r="D15" i="11"/>
  <c r="E15" i="11"/>
  <c r="F15" i="11"/>
  <c r="G15" i="11"/>
  <c r="B16" i="11"/>
  <c r="C16" i="11"/>
  <c r="D16" i="11"/>
  <c r="E16" i="11"/>
  <c r="F16" i="11"/>
  <c r="G16" i="11"/>
  <c r="B17" i="11"/>
  <c r="C17" i="11"/>
  <c r="D17" i="11"/>
  <c r="E17" i="11"/>
  <c r="F17" i="11"/>
  <c r="G17" i="11"/>
  <c r="C13" i="11"/>
  <c r="D13" i="11"/>
  <c r="E13" i="11"/>
  <c r="F13" i="11"/>
  <c r="G13" i="11"/>
  <c r="B13" i="11"/>
  <c r="D14" i="10"/>
  <c r="H4" i="10"/>
  <c r="D10" i="10"/>
  <c r="D7" i="10"/>
  <c r="D4" i="10"/>
  <c r="L18" i="8"/>
  <c r="L17" i="8"/>
  <c r="L16" i="8"/>
  <c r="L15" i="8"/>
  <c r="L14" i="8"/>
  <c r="L10" i="8"/>
  <c r="L9" i="8"/>
  <c r="L7" i="8"/>
  <c r="L6" i="8"/>
  <c r="L4" i="8"/>
  <c r="L3" i="8"/>
  <c r="N8" i="7"/>
  <c r="N9" i="7"/>
  <c r="N10" i="7"/>
  <c r="N11" i="7"/>
  <c r="N7" i="7"/>
  <c r="M16" i="7"/>
  <c r="L16" i="7"/>
  <c r="K2" i="7"/>
  <c r="L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" i="7"/>
  <c r="C28" i="4" l="1"/>
  <c r="C27" i="4"/>
  <c r="C26" i="4"/>
  <c r="C25" i="4"/>
  <c r="C24" i="4"/>
  <c r="C23" i="4"/>
  <c r="C22" i="4"/>
  <c r="C21" i="4"/>
  <c r="C20" i="4"/>
  <c r="C19" i="4"/>
  <c r="A17" i="17" l="1"/>
  <c r="B17" i="17" s="1"/>
  <c r="E5" i="17"/>
  <c r="E6" i="17"/>
  <c r="E7" i="17"/>
  <c r="E8" i="17"/>
  <c r="E9" i="17"/>
  <c r="E10" i="17"/>
  <c r="E11" i="17"/>
  <c r="E12" i="17"/>
  <c r="E4" i="17"/>
  <c r="B5" i="17"/>
  <c r="C5" i="17"/>
  <c r="D5" i="17"/>
  <c r="B6" i="17"/>
  <c r="C6" i="17"/>
  <c r="D6" i="17"/>
  <c r="B7" i="17"/>
  <c r="C7" i="17"/>
  <c r="D7" i="17"/>
  <c r="B8" i="17"/>
  <c r="C8" i="17"/>
  <c r="D8" i="17"/>
  <c r="B9" i="17"/>
  <c r="C9" i="17"/>
  <c r="D9" i="17"/>
  <c r="B10" i="17"/>
  <c r="C10" i="17"/>
  <c r="D10" i="17"/>
  <c r="B11" i="17"/>
  <c r="C11" i="17"/>
  <c r="D11" i="17"/>
  <c r="B12" i="17"/>
  <c r="C12" i="17"/>
  <c r="D12" i="17"/>
  <c r="D4" i="17"/>
  <c r="C4" i="17"/>
  <c r="B4" i="17"/>
  <c r="G6" i="16"/>
  <c r="G5" i="16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2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2" i="14"/>
  <c r="F21" i="8"/>
  <c r="G21" i="8" s="1"/>
  <c r="H21" i="8" s="1"/>
  <c r="I21" i="8" s="1"/>
  <c r="F20" i="8"/>
  <c r="F19" i="8"/>
  <c r="F18" i="8"/>
  <c r="F17" i="8"/>
  <c r="F16" i="8"/>
  <c r="G16" i="8" s="1"/>
  <c r="H16" i="8" s="1"/>
  <c r="I16" i="8" s="1"/>
  <c r="F15" i="8"/>
  <c r="G15" i="8" s="1"/>
  <c r="H15" i="8" s="1"/>
  <c r="I15" i="8" s="1"/>
  <c r="F14" i="8"/>
  <c r="G14" i="8" s="1"/>
  <c r="H14" i="8" s="1"/>
  <c r="I14" i="8" s="1"/>
  <c r="F13" i="8"/>
  <c r="F12" i="8"/>
  <c r="F11" i="8"/>
  <c r="F10" i="8"/>
  <c r="F9" i="8"/>
  <c r="F8" i="8"/>
  <c r="G8" i="8" s="1"/>
  <c r="H8" i="8" s="1"/>
  <c r="I8" i="8" s="1"/>
  <c r="F7" i="8"/>
  <c r="F6" i="8"/>
  <c r="F5" i="8"/>
  <c r="F4" i="8"/>
  <c r="F3" i="8"/>
  <c r="M11" i="7"/>
  <c r="M10" i="7"/>
  <c r="M9" i="7"/>
  <c r="M8" i="7"/>
  <c r="M7" i="7"/>
  <c r="D17" i="17" l="1"/>
  <c r="C17" i="17"/>
  <c r="G7" i="8"/>
  <c r="H7" i="8" s="1"/>
  <c r="I7" i="8" s="1"/>
  <c r="G10" i="8"/>
  <c r="H10" i="8" s="1"/>
  <c r="I10" i="8" s="1"/>
  <c r="G4" i="8"/>
  <c r="H4" i="8" s="1"/>
  <c r="I4" i="8" s="1"/>
  <c r="G9" i="8"/>
  <c r="H9" i="8" s="1"/>
  <c r="I9" i="8" s="1"/>
  <c r="G17" i="8"/>
  <c r="H17" i="8" s="1"/>
  <c r="I17" i="8" s="1"/>
  <c r="G3" i="8"/>
  <c r="H3" i="8" s="1"/>
  <c r="I3" i="8" s="1"/>
  <c r="G11" i="8"/>
  <c r="H11" i="8" s="1"/>
  <c r="I11" i="8" s="1"/>
  <c r="G6" i="8"/>
  <c r="H6" i="8" s="1"/>
  <c r="I6" i="8" s="1"/>
  <c r="G18" i="8"/>
  <c r="H18" i="8" s="1"/>
  <c r="I18" i="8" s="1"/>
  <c r="G19" i="8"/>
  <c r="H19" i="8" s="1"/>
  <c r="I19" i="8" s="1"/>
  <c r="G12" i="8"/>
  <c r="H12" i="8" s="1"/>
  <c r="I12" i="8" s="1"/>
  <c r="G20" i="8"/>
  <c r="H20" i="8" s="1"/>
  <c r="I20" i="8" s="1"/>
  <c r="G5" i="8"/>
  <c r="H5" i="8" s="1"/>
  <c r="I5" i="8" s="1"/>
  <c r="G13" i="8"/>
  <c r="H13" i="8" s="1"/>
  <c r="I13" i="8" s="1"/>
  <c r="C14" i="4"/>
  <c r="C13" i="4"/>
  <c r="C12" i="4"/>
  <c r="C11" i="4"/>
  <c r="C10" i="4"/>
  <c r="C9" i="4"/>
  <c r="C8" i="4"/>
  <c r="C7" i="4"/>
  <c r="C6" i="4"/>
  <c r="C5" i="4"/>
</calcChain>
</file>

<file path=xl/comments1.xml><?xml version="1.0" encoding="utf-8"?>
<comments xmlns="http://schemas.openxmlformats.org/spreadsheetml/2006/main">
  <authors>
    <author>temp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 xml:space="preserve">Formatar a toda a tabela obedecendo os criterios conforme a imagem ao lado:
1°: toda a tabela formatada com fonte Cambria tamanho 11
2°:coluna Dinheiro no  formato moeda
3°: coluna porcentagem formatado como %
4°: coluna DATA formatado como data abreviada
5°: Coluna telefone formatado personalizado no formato (##)#####-#### </t>
        </r>
      </text>
    </comment>
    <comment ref="I5" authorId="0" shapeId="0">
      <text>
        <r>
          <rPr>
            <sz val="9"/>
            <color indexed="81"/>
            <rFont val="Tahoma"/>
            <family val="2"/>
          </rPr>
          <t xml:space="preserve">
Deve ficar assim</t>
        </r>
      </text>
    </comment>
    <comment ref="B18" authorId="0" shapeId="0">
      <text>
        <r>
          <rPr>
            <b/>
            <sz val="9"/>
            <color indexed="81"/>
            <rFont val="Tahoma"/>
            <family val="2"/>
          </rPr>
          <t xml:space="preserve">Formatar a toda a tabela obedecendo os criterios conforme a imagem ao lado:
1°: toda a tabela formatada com fonte Cambria tamanho 11
2°:coluna Dinheiro no  formato moeda
3°: coluna porcentagem formatado como %
4°: coluna DATA formatado como data abreviada
5°: Coluna telefone formatado personalizado no formato (##)#####-#### </t>
        </r>
      </text>
    </comment>
  </commentList>
</comments>
</file>

<file path=xl/comments2.xml><?xml version="1.0" encoding="utf-8"?>
<comments xmlns="http://schemas.openxmlformats.org/spreadsheetml/2006/main">
  <authors>
    <author>temp</author>
  </authors>
  <commentList>
    <comment ref="E1" authorId="0" shapeId="0">
      <text>
        <r>
          <rPr>
            <b/>
            <sz val="9"/>
            <color indexed="81"/>
            <rFont val="Tahoma"/>
            <family val="2"/>
          </rPr>
          <t xml:space="preserve">Usando a ferramenta "CONGELAR " Congelar  toda a linha  1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temp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Usando a ferramenta "CONGELAR " Congelar as colunas A e B  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HP T610</author>
  </authors>
  <commentList>
    <comment ref="B2" authorId="0" shapeId="0">
      <text>
        <r>
          <rPr>
            <sz val="9"/>
            <color indexed="81"/>
            <rFont val="Segoe UI"/>
            <family val="2"/>
          </rPr>
          <t xml:space="preserve">Usar funçao de DIA para extrair o Dia
Representar nas cedulas B3 a B11
</t>
        </r>
      </text>
    </comment>
    <comment ref="C2" authorId="0" shapeId="0">
      <text>
        <r>
          <rPr>
            <sz val="9"/>
            <color indexed="81"/>
            <rFont val="Segoe UI"/>
            <family val="2"/>
          </rPr>
          <t xml:space="preserve">
Usar funçao de MÊS para extrair o MÊS.
Representar nas cedulas C3 a C11</t>
        </r>
      </text>
    </comment>
    <comment ref="D2" authorId="0" shapeId="0">
      <text>
        <r>
          <rPr>
            <sz val="9"/>
            <color indexed="81"/>
            <rFont val="Segoe UI"/>
            <family val="2"/>
          </rPr>
          <t xml:space="preserve">
Usar funçoes de data para extrair o ANO.
Representar nas cedulas D3 a D11</t>
        </r>
      </text>
    </comment>
    <comment ref="E2" authorId="0" shapeId="0">
      <text>
        <r>
          <rPr>
            <sz val="9"/>
            <color indexed="81"/>
            <rFont val="Segoe UI"/>
            <family val="2"/>
          </rPr>
          <t>Usar funçao DATA para fazer a coneçao de DIA, MÊS e ANO ( colunas B,C e D  )para ficar identica a Coluna A.
representar nas cedulas E3 a E11</t>
        </r>
      </text>
    </comment>
    <comment ref="F2" authorId="0" shapeId="0">
      <text>
        <r>
          <rPr>
            <sz val="9"/>
            <color indexed="81"/>
            <rFont val="Segoe UI"/>
            <family val="2"/>
          </rPr>
          <t>Usar funçao DATA para fazer a coneçao de DIA, MÊS e ANO ( colunas B,C e D  ) e adicionar + 30 dias 
representar nas cedulas F3 a F11</t>
        </r>
      </text>
    </comment>
  </commentList>
</comments>
</file>

<file path=xl/comments5.xml><?xml version="1.0" encoding="utf-8"?>
<comments xmlns="http://schemas.openxmlformats.org/spreadsheetml/2006/main">
  <authors>
    <author>temp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Usando a funçao Localizar e substituir localize no campo "Area" coluna B a palavra  (Pessoal) e Substitua todos por (Gestão de pessoas)</t>
        </r>
      </text>
    </comment>
  </commentList>
</comments>
</file>

<file path=xl/comments6.xml><?xml version="1.0" encoding="utf-8"?>
<comments xmlns="http://schemas.openxmlformats.org/spreadsheetml/2006/main">
  <authors>
    <author>HP T610</author>
  </authors>
  <commentList>
    <comment ref="B3" authorId="0" shapeId="0">
      <text>
        <r>
          <rPr>
            <sz val="9"/>
            <color indexed="81"/>
            <rFont val="Segoe UI"/>
            <family val="2"/>
          </rPr>
          <t>Usar a função HORA para extrair hora de coluna A.
Representar nas cedulas B17 a B27</t>
        </r>
      </text>
    </comment>
    <comment ref="C3" authorId="0" shapeId="0">
      <text>
        <r>
          <rPr>
            <b/>
            <sz val="9"/>
            <color indexed="81"/>
            <rFont val="Segoe UI"/>
            <family val="2"/>
          </rPr>
          <t>Usar a função MINUTO para extrair minutos de coluna A</t>
        </r>
        <r>
          <rPr>
            <sz val="9"/>
            <color indexed="81"/>
            <rFont val="Segoe UI"/>
            <family val="2"/>
          </rPr>
          <t xml:space="preserve">
Representar nas cedulas C17 a C27</t>
        </r>
      </text>
    </comment>
    <comment ref="D3" authorId="0" shapeId="0">
      <text>
        <r>
          <rPr>
            <b/>
            <sz val="9"/>
            <color indexed="81"/>
            <rFont val="Segoe UI"/>
            <family val="2"/>
          </rPr>
          <t>Usar a função SEGUNDO para extrair segundos de coluna A
Representar nas cedulas D17 a D27</t>
        </r>
      </text>
    </comment>
    <comment ref="E3" authorId="0" shapeId="0">
      <text>
        <r>
          <rPr>
            <b/>
            <sz val="9"/>
            <color indexed="81"/>
            <rFont val="Segoe UI"/>
            <family val="2"/>
          </rPr>
          <t>Usar a função TEMPO para fazer a conexão das Colunas B,C e D para que fique identica a Coluna A</t>
        </r>
        <r>
          <rPr>
            <sz val="9"/>
            <color indexed="81"/>
            <rFont val="Segoe UI"/>
            <family val="2"/>
          </rPr>
          <t xml:space="preserve">
Representar nas cedulas F17 a F27</t>
        </r>
      </text>
    </comment>
    <comment ref="B16" authorId="0" shapeId="0">
      <text>
        <r>
          <rPr>
            <sz val="9"/>
            <color indexed="81"/>
            <rFont val="Segoe UI"/>
            <family val="2"/>
          </rPr>
          <t>Usar a função HORA para extrair hora de coluna A.
Representar nas cedulas B17 a B27</t>
        </r>
      </text>
    </comment>
    <comment ref="C16" authorId="0" shapeId="0">
      <text>
        <r>
          <rPr>
            <b/>
            <sz val="9"/>
            <color indexed="81"/>
            <rFont val="Segoe UI"/>
            <family val="2"/>
          </rPr>
          <t>Usar a função MINUTO para extrair minutos de coluna A</t>
        </r>
        <r>
          <rPr>
            <sz val="9"/>
            <color indexed="81"/>
            <rFont val="Segoe UI"/>
            <family val="2"/>
          </rPr>
          <t xml:space="preserve">
Representar nas cedulas C17 a C27</t>
        </r>
      </text>
    </comment>
    <comment ref="D16" authorId="0" shapeId="0">
      <text>
        <r>
          <rPr>
            <b/>
            <sz val="9"/>
            <color indexed="81"/>
            <rFont val="Segoe UI"/>
            <family val="2"/>
          </rPr>
          <t>Usar a função SEGUNDO para extrair segundos de coluna A
Representar nas cedulas D17 a D27</t>
        </r>
      </text>
    </comment>
  </commentList>
</comments>
</file>

<file path=xl/sharedStrings.xml><?xml version="1.0" encoding="utf-8"?>
<sst xmlns="http://schemas.openxmlformats.org/spreadsheetml/2006/main" count="1028" uniqueCount="269">
  <si>
    <t>Funcionario</t>
  </si>
  <si>
    <t>1° Trimestre</t>
  </si>
  <si>
    <t>2° trimestre</t>
  </si>
  <si>
    <t>3° Trimestre</t>
  </si>
  <si>
    <t>4° Trimestre</t>
  </si>
  <si>
    <t>Adamastor</t>
  </si>
  <si>
    <t>Florisbela</t>
  </si>
  <si>
    <t>Mafalda</t>
  </si>
  <si>
    <t>Clodomiro</t>
  </si>
  <si>
    <t>salome</t>
  </si>
  <si>
    <t>mafalda</t>
  </si>
  <si>
    <t>Plinio</t>
  </si>
  <si>
    <t>silmara</t>
  </si>
  <si>
    <t>bezerra</t>
  </si>
  <si>
    <t>Total</t>
  </si>
  <si>
    <t>Pedro</t>
  </si>
  <si>
    <t>Nome</t>
  </si>
  <si>
    <t>Dinheiro</t>
  </si>
  <si>
    <t>Porcentagem</t>
  </si>
  <si>
    <t>Data</t>
  </si>
  <si>
    <t>Telefone</t>
  </si>
  <si>
    <t>João</t>
  </si>
  <si>
    <t>José</t>
  </si>
  <si>
    <t>Maria</t>
  </si>
  <si>
    <t>Marilda</t>
  </si>
  <si>
    <t>Paula</t>
  </si>
  <si>
    <t>Paulo</t>
  </si>
  <si>
    <t>Renata</t>
  </si>
  <si>
    <t>Rita</t>
  </si>
  <si>
    <t>Roberta</t>
  </si>
  <si>
    <t>Contato</t>
  </si>
  <si>
    <t>Área</t>
  </si>
  <si>
    <t>Cargo</t>
  </si>
  <si>
    <t>Bairro</t>
  </si>
  <si>
    <t>Salário</t>
  </si>
  <si>
    <t>Felipe Grileti Pinotti</t>
  </si>
  <si>
    <t>Sistemas</t>
  </si>
  <si>
    <t>Analista</t>
  </si>
  <si>
    <t>Brooklin</t>
  </si>
  <si>
    <t>Alberto Bonfim Gomes</t>
  </si>
  <si>
    <t>Jardim Europa</t>
  </si>
  <si>
    <t>Alberto Teodoro Rocha</t>
  </si>
  <si>
    <t>Alberto Macedo De Sá</t>
  </si>
  <si>
    <t>Pessoal</t>
  </si>
  <si>
    <t>Analista RH</t>
  </si>
  <si>
    <t>Jardins</t>
  </si>
  <si>
    <t>Gilson Fernandes Victor</t>
  </si>
  <si>
    <t>Arquitetura</t>
  </si>
  <si>
    <t>Arquiteto</t>
  </si>
  <si>
    <t>Morumbi</t>
  </si>
  <si>
    <t>Agenor Tanaka Victor</t>
  </si>
  <si>
    <t>Santo Amaro</t>
  </si>
  <si>
    <t>Cecilia Mello Raineri</t>
  </si>
  <si>
    <t>Fabio Lopes Meleiro</t>
  </si>
  <si>
    <t xml:space="preserve">Auxiliar </t>
  </si>
  <si>
    <t>Gilson Hernandez Pinho</t>
  </si>
  <si>
    <t>Gilson Teodoro Toledo</t>
  </si>
  <si>
    <t>Consultoria</t>
  </si>
  <si>
    <t>Consultor</t>
  </si>
  <si>
    <t>Antonio Mendonca Gomes</t>
  </si>
  <si>
    <t>Centro</t>
  </si>
  <si>
    <t>Cecilia Rosa Gastelar</t>
  </si>
  <si>
    <t>Ibirapuera</t>
  </si>
  <si>
    <t>Ivan Saad Magalhaes</t>
  </si>
  <si>
    <t>Jaime Amorim Bartira</t>
  </si>
  <si>
    <t>Ivan Prado Levy</t>
  </si>
  <si>
    <t>Administração</t>
  </si>
  <si>
    <t>Contador</t>
  </si>
  <si>
    <t>Antonio Alves Soares</t>
  </si>
  <si>
    <t>Itaim-Bibi</t>
  </si>
  <si>
    <t>Cristina Corneta Perneta</t>
  </si>
  <si>
    <t>Digitador</t>
  </si>
  <si>
    <t>Carlos Alberto Ramos Da Silva</t>
  </si>
  <si>
    <t>Marketing</t>
  </si>
  <si>
    <t>Diretor</t>
  </si>
  <si>
    <t>Ana Britto Kwong</t>
  </si>
  <si>
    <t>Ibirabuera</t>
  </si>
  <si>
    <t>Carlos Hernandez Brandao</t>
  </si>
  <si>
    <t>Antonio Salomao Assis</t>
  </si>
  <si>
    <t>Divulgador</t>
  </si>
  <si>
    <t>Pinheiros</t>
  </si>
  <si>
    <t>Diego Grileti Bianchini</t>
  </si>
  <si>
    <t>Encarregado</t>
  </si>
  <si>
    <t>Flavio Fernandes Montenegro</t>
  </si>
  <si>
    <t>Engenharia</t>
  </si>
  <si>
    <t>Engenheiro</t>
  </si>
  <si>
    <t>Frederico Dentini Estrela</t>
  </si>
  <si>
    <t>Carlos Vitela Bianchini</t>
  </si>
  <si>
    <t>Jardim Paulista</t>
  </si>
  <si>
    <t>Felipe Pacheco De Sa</t>
  </si>
  <si>
    <t>Alvaro Saad Braga</t>
  </si>
  <si>
    <t>Gerente</t>
  </si>
  <si>
    <t>Ana Mendes Silva</t>
  </si>
  <si>
    <t>Adao Ribeiro Berbel</t>
  </si>
  <si>
    <t>Frederico Malta Rachel</t>
  </si>
  <si>
    <t>Jornalista</t>
  </si>
  <si>
    <t>Helena Gomes Fonseca</t>
  </si>
  <si>
    <t>Helena Alves Ferrari</t>
  </si>
  <si>
    <t>Antonio Carlos Dentini De Sá</t>
  </si>
  <si>
    <t>Operador</t>
  </si>
  <si>
    <t>Gilson Pereira Rocha</t>
  </si>
  <si>
    <t>Programador</t>
  </si>
  <si>
    <t>Angelo Shibata Branco</t>
  </si>
  <si>
    <t>Cerqueira César</t>
  </si>
  <si>
    <t>Angelo Shibata Perneta</t>
  </si>
  <si>
    <t>Benedito Campos Ibata</t>
  </si>
  <si>
    <t>Helena Viana Oliveira</t>
  </si>
  <si>
    <t>Secretária</t>
  </si>
  <si>
    <t>Cassia Benelli Grillo</t>
  </si>
  <si>
    <t>Denise Mello Levy</t>
  </si>
  <si>
    <t>Cassia Malta Albano</t>
  </si>
  <si>
    <t>Denise Valente Barros</t>
  </si>
  <si>
    <t>Dario Fazzola Costa</t>
  </si>
  <si>
    <t>Cassia De Carvalho Da Costa</t>
  </si>
  <si>
    <t>Dario Ramos Costa</t>
  </si>
  <si>
    <t>Zoraide Benelli Farias</t>
  </si>
  <si>
    <t>Zoraide Campos Camelo</t>
  </si>
  <si>
    <t>Helena Paiva Hilario</t>
  </si>
  <si>
    <t>Fatima Lima Ferrari</t>
  </si>
  <si>
    <t>Dionisio Benelli Pavone</t>
  </si>
  <si>
    <t>Edson Noronha Morales</t>
  </si>
  <si>
    <t>Segurança</t>
  </si>
  <si>
    <t>Angelo Freitas Amorim</t>
  </si>
  <si>
    <t>Supervisor</t>
  </si>
  <si>
    <t>Bolivar Tadaka Machado</t>
  </si>
  <si>
    <t>Técnico</t>
  </si>
  <si>
    <t>Cecilia Britto Perneta</t>
  </si>
  <si>
    <t>Cristina Hidalgo Adegas</t>
  </si>
  <si>
    <t>Cicero Malta Seixas</t>
  </si>
  <si>
    <t>Benedito Keizo Salim</t>
  </si>
  <si>
    <t>Benedito Torres Almeida</t>
  </si>
  <si>
    <t>Dias de vendas</t>
  </si>
  <si>
    <t>Unidade</t>
  </si>
  <si>
    <t>Filial01</t>
  </si>
  <si>
    <t>Filial02</t>
  </si>
  <si>
    <t>Silvia</t>
  </si>
  <si>
    <t>Carla</t>
  </si>
  <si>
    <t>Filial03</t>
  </si>
  <si>
    <t>Angélica</t>
  </si>
  <si>
    <t>Tomás</t>
  </si>
  <si>
    <t>Cleber</t>
  </si>
  <si>
    <t>Flavia</t>
  </si>
  <si>
    <t>Região</t>
  </si>
  <si>
    <t>Produto</t>
  </si>
  <si>
    <t>Unidades</t>
  </si>
  <si>
    <t>Preço</t>
  </si>
  <si>
    <t>Total Vendas*</t>
  </si>
  <si>
    <t>Frete 3% *</t>
  </si>
  <si>
    <t>Valor com frete +</t>
  </si>
  <si>
    <t>valor unidade com frete /</t>
  </si>
  <si>
    <t>Total de Unidades</t>
  </si>
  <si>
    <t>Valor total de vendas</t>
  </si>
  <si>
    <t xml:space="preserve">Total  de cadeiras </t>
  </si>
  <si>
    <t>Norte</t>
  </si>
  <si>
    <t>Cadeira</t>
  </si>
  <si>
    <t>Sul</t>
  </si>
  <si>
    <t>Nordeste</t>
  </si>
  <si>
    <t>Mesa</t>
  </si>
  <si>
    <t>Sudeste</t>
  </si>
  <si>
    <t>Material</t>
  </si>
  <si>
    <t>Estoque</t>
  </si>
  <si>
    <t xml:space="preserve">venda dia anterior </t>
  </si>
  <si>
    <t>Sofá</t>
  </si>
  <si>
    <t>Escrivaninha</t>
  </si>
  <si>
    <t>Centro-Oeste</t>
  </si>
  <si>
    <t>Somase</t>
  </si>
  <si>
    <t>QNT. Vendidas</t>
  </si>
  <si>
    <t>Total venda*</t>
  </si>
  <si>
    <t>Valor maximo de venda</t>
  </si>
  <si>
    <t>valor mínimo de venda</t>
  </si>
  <si>
    <t>Valor maximo de Frete 3% *</t>
  </si>
  <si>
    <t>valor mínimo de Frete 3% *</t>
  </si>
  <si>
    <t>Quantidade máxima de unidade</t>
  </si>
  <si>
    <t>Quantidade mínima de unidade</t>
  </si>
  <si>
    <t>Item</t>
  </si>
  <si>
    <t>Média</t>
  </si>
  <si>
    <t>Valor</t>
  </si>
  <si>
    <t>Desconto</t>
  </si>
  <si>
    <t>Resultado</t>
  </si>
  <si>
    <t>Multiplicao</t>
  </si>
  <si>
    <t>Divide -/+</t>
  </si>
  <si>
    <t>% de um valor</t>
  </si>
  <si>
    <t>%</t>
  </si>
  <si>
    <t>% de 2 valores</t>
  </si>
  <si>
    <t>Acrescimo</t>
  </si>
  <si>
    <t>multiplicaçao entre parenteses</t>
  </si>
  <si>
    <t xml:space="preserve">Diminuir </t>
  </si>
  <si>
    <t>% da diferença</t>
  </si>
  <si>
    <t>Maio</t>
  </si>
  <si>
    <t>Junho</t>
  </si>
  <si>
    <t>Valor  + %</t>
  </si>
  <si>
    <t xml:space="preserve"> valor - %</t>
  </si>
  <si>
    <t>Divide atual pelo anterior -1</t>
  </si>
  <si>
    <t xml:space="preserve">Variação </t>
  </si>
  <si>
    <t xml:space="preserve">FIXANDO TUDO </t>
  </si>
  <si>
    <t>Produto 1</t>
  </si>
  <si>
    <t>Produto 2</t>
  </si>
  <si>
    <t>Produto 3</t>
  </si>
  <si>
    <t>Produto 4</t>
  </si>
  <si>
    <t>Produto 5</t>
  </si>
  <si>
    <t xml:space="preserve">Incluir </t>
  </si>
  <si>
    <t xml:space="preserve">Valor </t>
  </si>
  <si>
    <t xml:space="preserve"> (%) </t>
  </si>
  <si>
    <t>LINHA FIXA ( travar linha )</t>
  </si>
  <si>
    <t xml:space="preserve"> (%) Acrescimo</t>
  </si>
  <si>
    <t>Coluna fixa ( TRAVAR COLUNA)</t>
  </si>
  <si>
    <t>Data abreviada</t>
  </si>
  <si>
    <t>DIA</t>
  </si>
  <si>
    <t>MÊS</t>
  </si>
  <si>
    <t>ANO</t>
  </si>
  <si>
    <t>DATA</t>
  </si>
  <si>
    <t>DATA (+30 dias)</t>
  </si>
  <si>
    <t>Pagamento</t>
  </si>
  <si>
    <t xml:space="preserve">Dias faltantes </t>
  </si>
  <si>
    <t>Hoje</t>
  </si>
  <si>
    <t>Sistemas de logitica</t>
  </si>
  <si>
    <t>Sistemas de logitica de logitica</t>
  </si>
  <si>
    <t>MAIÚSCULA</t>
  </si>
  <si>
    <t>MINUSCULA</t>
  </si>
  <si>
    <t xml:space="preserve">Primeira maiscula </t>
  </si>
  <si>
    <t>Gilson FerNAndes Victor</t>
  </si>
  <si>
    <t>felipe Grileti Pinotti</t>
  </si>
  <si>
    <t>ivan Saad Magalhaes</t>
  </si>
  <si>
    <t>Gilson Teodoro TOLEDO</t>
  </si>
  <si>
    <t>Fabio LOPES Meleiro</t>
  </si>
  <si>
    <t xml:space="preserve">Nome </t>
  </si>
  <si>
    <t>Sobrenome</t>
  </si>
  <si>
    <t>Nome completo</t>
  </si>
  <si>
    <t>Marta</t>
  </si>
  <si>
    <t>Silva</t>
  </si>
  <si>
    <t>josé</t>
  </si>
  <si>
    <t>Lopes</t>
  </si>
  <si>
    <t>Sempre que for usar palavras em uma formula usar a palavra entre aspas  EX:"PALAVRA"</t>
  </si>
  <si>
    <t>marcos</t>
  </si>
  <si>
    <t>Santos</t>
  </si>
  <si>
    <t>Sempre que for usa espaço  em uma formula usar a palavra entre aspas  EX:" "</t>
  </si>
  <si>
    <t>Time</t>
  </si>
  <si>
    <t>Palavra Time + nome do time</t>
  </si>
  <si>
    <t>Atletico MG</t>
  </si>
  <si>
    <t>Cruzeiro</t>
  </si>
  <si>
    <t>usando &amp;</t>
  </si>
  <si>
    <t>&amp;</t>
  </si>
  <si>
    <t xml:space="preserve">Rua </t>
  </si>
  <si>
    <t>numero</t>
  </si>
  <si>
    <t>Endereço completo</t>
  </si>
  <si>
    <t>Ladeira</t>
  </si>
  <si>
    <t>Alameda</t>
  </si>
  <si>
    <t>Função Agora</t>
  </si>
  <si>
    <t>Descrição</t>
  </si>
  <si>
    <t>Fórmulas Usadas</t>
  </si>
  <si>
    <t>Retorna a data e a hora atuais.</t>
  </si>
  <si>
    <t>Retorna a data e a hora 15 dias no futuro.</t>
  </si>
  <si>
    <t>Retorna a data com 12 horas de atraso. 0,5 metade do dia.</t>
  </si>
  <si>
    <t>Retorna a data e a hora 2 dias e 6 horas atrás, (-2,25 dias atrás).</t>
  </si>
  <si>
    <t>2 dias e 8 horas para frente a partir de agora</t>
  </si>
  <si>
    <t>Hora abreviada</t>
  </si>
  <si>
    <t>HORA</t>
  </si>
  <si>
    <t>MINUTO</t>
  </si>
  <si>
    <t>SEGUNDO</t>
  </si>
  <si>
    <t>TEMPO</t>
  </si>
  <si>
    <t>Para inserir a data atual, pressione Ctrl+; (ponto-e-vírgula).</t>
  </si>
  <si>
    <t>Para inserir a hora atual, pressione Ctrl+Shift+; (ponto-e-vírgula).</t>
  </si>
  <si>
    <t>Para inserir a data e hora atuais, pressione Ctrl+; (ponto-e-vírgula), depois pressione Espaço e então Ctrl+Shift+; (ponto-e-vírgula).</t>
  </si>
  <si>
    <t>Atalhos</t>
  </si>
  <si>
    <t>Data/Hora Atual</t>
  </si>
  <si>
    <t/>
  </si>
  <si>
    <r>
      <t xml:space="preserve">Resumo : não quer que muda a celula </t>
    </r>
    <r>
      <rPr>
        <b/>
        <sz val="11"/>
        <color rgb="FFFF0000"/>
        <rFont val="Cambria"/>
        <family val="1"/>
      </rPr>
      <t>TRAVAAAAA</t>
    </r>
    <r>
      <rPr>
        <sz val="11"/>
        <rFont val="Cambria"/>
        <family val="1"/>
      </rPr>
      <t xml:space="preserve"> </t>
    </r>
    <r>
      <rPr>
        <b/>
        <sz val="11"/>
        <rFont val="Cambria"/>
        <family val="1"/>
      </rPr>
      <t>USANDO</t>
    </r>
    <r>
      <rPr>
        <sz val="11"/>
        <rFont val="Cambria"/>
        <family val="1"/>
      </rPr>
      <t xml:space="preserve"> </t>
    </r>
    <r>
      <rPr>
        <b/>
        <sz val="36"/>
        <color rgb="FFFF0000"/>
        <rFont val="Cambria"/>
        <family val="1"/>
      </rPr>
      <t>F4</t>
    </r>
  </si>
  <si>
    <t>Gestão de pessoas</t>
  </si>
  <si>
    <t>Av.Paulista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</si>
</sst>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[$R$-416]\ * #,##0.00_-;\-[$R$-416]\ * #,##0.00_-;_-[$R$-416]\ * &quot;-&quot;??_-;_-@_-"/>
    <numFmt numFmtId="166" formatCode="_-* #,##0_-;\-* #,##0_-;_-* &quot;-&quot;??_-;_-@_-"/>
    <numFmt numFmtId="167" formatCode="_(* #,##0_);_(* \(#,##0\);_(* &quot;-&quot;??_);_(@_)"/>
    <numFmt numFmtId="168" formatCode="[$-F400]h:mm:ss\ AM/PM"/>
    <numFmt numFmtId="169" formatCode="\(##\)\ #####\-####"/>
  </numFmts>
  <fonts count="3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Segoe UI"/>
      <family val="2"/>
    </font>
    <font>
      <sz val="14"/>
      <color rgb="FF333333"/>
      <name val="Arial"/>
      <family val="2"/>
    </font>
    <font>
      <b/>
      <sz val="9"/>
      <color indexed="81"/>
      <name val="Segoe UI"/>
      <family val="2"/>
    </font>
    <font>
      <sz val="11"/>
      <color rgb="FF1E1E1E"/>
      <name val="Segoe UI"/>
      <family val="2"/>
    </font>
    <font>
      <sz val="11"/>
      <color theme="0"/>
      <name val="Aptos Narrow"/>
      <scheme val="minor"/>
    </font>
    <font>
      <b/>
      <u/>
      <sz val="14"/>
      <color theme="0"/>
      <name val="Aptos Narrow"/>
      <scheme val="minor"/>
    </font>
    <font>
      <b/>
      <sz val="11"/>
      <color theme="1"/>
      <name val="Cambria"/>
      <family val="1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sz val="16"/>
      <color theme="1"/>
      <name val="Cambria"/>
      <family val="1"/>
    </font>
    <font>
      <sz val="12"/>
      <color theme="1"/>
      <name val="Cambria"/>
      <family val="1"/>
    </font>
    <font>
      <b/>
      <sz val="11"/>
      <name val="Cambria"/>
      <family val="1"/>
    </font>
    <font>
      <b/>
      <sz val="16"/>
      <color theme="0"/>
      <name val="Cambria"/>
      <family val="1"/>
    </font>
    <font>
      <sz val="18"/>
      <color theme="1"/>
      <name val="Cambria"/>
      <family val="1"/>
    </font>
    <font>
      <sz val="26"/>
      <color theme="1"/>
      <name val="Cambria"/>
      <family val="1"/>
    </font>
    <font>
      <sz val="11"/>
      <name val="Cambria"/>
      <family val="1"/>
    </font>
    <font>
      <b/>
      <sz val="11"/>
      <color rgb="FFFF0000"/>
      <name val="Cambria"/>
      <family val="1"/>
    </font>
    <font>
      <b/>
      <sz val="36"/>
      <color rgb="FFFF0000"/>
      <name val="Cambria"/>
      <family val="1"/>
    </font>
    <font>
      <b/>
      <sz val="14"/>
      <color theme="1"/>
      <name val="Cambria"/>
      <family val="1"/>
    </font>
    <font>
      <sz val="11"/>
      <color theme="1"/>
      <name val="Terminal"/>
    </font>
    <font>
      <sz val="11"/>
      <name val="Terminal"/>
    </font>
  </fonts>
  <fills count="1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B2B2B2"/>
      </bottom>
      <diagonal/>
    </border>
    <border>
      <left/>
      <right style="medium">
        <color indexed="64"/>
      </right>
      <top style="thin">
        <color rgb="FFB2B2B2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E4E4E4"/>
      </left>
      <right style="medium">
        <color rgb="FFCECECE"/>
      </right>
      <top style="medium">
        <color rgb="FFE4E4E4"/>
      </top>
      <bottom style="medium">
        <color rgb="FFCECECE"/>
      </bottom>
      <diagonal/>
    </border>
    <border>
      <left/>
      <right style="medium">
        <color rgb="FFE4E4E4"/>
      </right>
      <top style="medium">
        <color rgb="FFE4E4E4"/>
      </top>
      <bottom/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E4E4E4"/>
      </right>
      <top style="medium">
        <color rgb="FFCECECE"/>
      </top>
      <bottom style="medium">
        <color rgb="FFCECECE"/>
      </bottom>
      <diagonal/>
    </border>
    <border>
      <left style="medium">
        <color rgb="FFCECECE"/>
      </left>
      <right style="medium">
        <color rgb="FFCECECE"/>
      </right>
      <top style="medium">
        <color rgb="FFCECECE"/>
      </top>
      <bottom style="medium">
        <color rgb="FFE4E4E4"/>
      </bottom>
      <diagonal/>
    </border>
    <border>
      <left style="medium">
        <color rgb="FFCECECE"/>
      </left>
      <right style="medium">
        <color rgb="FFE4E4E4"/>
      </right>
      <top style="medium">
        <color rgb="FFCECECE"/>
      </top>
      <bottom style="medium">
        <color rgb="FFE4E4E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3" borderId="2" applyNumberFormat="0" applyFont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4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quotePrefix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0" borderId="1" xfId="3" applyNumberFormat="1" applyFont="1" applyBorder="1" applyAlignment="1">
      <alignment horizontal="center"/>
    </xf>
    <xf numFmtId="2" fontId="6" fillId="0" borderId="1" xfId="1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44" fontId="3" fillId="0" borderId="0" xfId="3" applyFont="1" applyAlignment="1">
      <alignment horizontal="center" vertical="center"/>
    </xf>
    <xf numFmtId="0" fontId="3" fillId="0" borderId="0" xfId="2" applyNumberFormat="1" applyFont="1" applyAlignment="1">
      <alignment horizontal="center" vertical="center"/>
    </xf>
    <xf numFmtId="9" fontId="0" fillId="0" borderId="0" xfId="0" applyNumberFormat="1"/>
    <xf numFmtId="165" fontId="0" fillId="0" borderId="0" xfId="0" applyNumberFormat="1"/>
    <xf numFmtId="0" fontId="4" fillId="4" borderId="0" xfId="0" applyFont="1" applyFill="1" applyAlignment="1">
      <alignment horizontal="center" vertical="center"/>
    </xf>
    <xf numFmtId="0" fontId="0" fillId="4" borderId="0" xfId="0" applyFill="1"/>
    <xf numFmtId="0" fontId="3" fillId="5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4" fontId="3" fillId="0" borderId="7" xfId="3" applyFont="1" applyBorder="1" applyAlignment="1">
      <alignment horizontal="center" vertical="center"/>
    </xf>
    <xf numFmtId="44" fontId="3" fillId="0" borderId="7" xfId="0" applyNumberFormat="1" applyFont="1" applyBorder="1" applyAlignment="1">
      <alignment horizontal="center" vertical="center"/>
    </xf>
    <xf numFmtId="44" fontId="4" fillId="3" borderId="9" xfId="4" applyNumberFormat="1" applyFont="1" applyBorder="1" applyAlignment="1">
      <alignment horizontal="center" vertical="center"/>
    </xf>
    <xf numFmtId="166" fontId="4" fillId="3" borderId="10" xfId="2" applyNumberFormat="1" applyFont="1" applyFill="1" applyBorder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3" fillId="0" borderId="1" xfId="3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44" fontId="4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6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/>
    </xf>
    <xf numFmtId="166" fontId="4" fillId="3" borderId="1" xfId="2" applyNumberFormat="1" applyFont="1" applyFill="1" applyBorder="1" applyAlignment="1">
      <alignment vertical="center"/>
    </xf>
    <xf numFmtId="44" fontId="3" fillId="0" borderId="0" xfId="0" applyNumberFormat="1" applyFont="1" applyAlignment="1">
      <alignment vertical="center"/>
    </xf>
    <xf numFmtId="167" fontId="4" fillId="3" borderId="8" xfId="5" applyNumberFormat="1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6" fontId="4" fillId="3" borderId="18" xfId="2" applyNumberFormat="1" applyFont="1" applyFill="1" applyBorder="1" applyAlignment="1">
      <alignment horizontal="center"/>
    </xf>
    <xf numFmtId="166" fontId="4" fillId="3" borderId="19" xfId="2" applyNumberFormat="1" applyFont="1" applyFill="1" applyBorder="1" applyAlignment="1">
      <alignment horizontal="center"/>
    </xf>
    <xf numFmtId="0" fontId="4" fillId="7" borderId="17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44" fontId="4" fillId="3" borderId="18" xfId="3" applyFont="1" applyFill="1" applyBorder="1" applyAlignment="1">
      <alignment horizontal="center"/>
    </xf>
    <xf numFmtId="44" fontId="4" fillId="3" borderId="6" xfId="3" applyFont="1" applyFill="1" applyBorder="1" applyAlignment="1">
      <alignment horizontal="center"/>
    </xf>
    <xf numFmtId="165" fontId="4" fillId="3" borderId="18" xfId="2" applyNumberFormat="1" applyFont="1" applyFill="1" applyBorder="1" applyAlignment="1">
      <alignment horizontal="center"/>
    </xf>
    <xf numFmtId="165" fontId="4" fillId="3" borderId="19" xfId="2" applyNumberFormat="1" applyFont="1" applyFill="1" applyBorder="1" applyAlignment="1">
      <alignment horizontal="center"/>
    </xf>
    <xf numFmtId="0" fontId="9" fillId="0" borderId="0" xfId="0" applyFont="1"/>
    <xf numFmtId="44" fontId="9" fillId="0" borderId="0" xfId="0" applyNumberFormat="1" applyFont="1" applyAlignment="1">
      <alignment horizontal="center" vertical="center"/>
    </xf>
    <xf numFmtId="9" fontId="9" fillId="0" borderId="0" xfId="1" applyFont="1"/>
    <xf numFmtId="9" fontId="9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/>
    <xf numFmtId="0" fontId="10" fillId="9" borderId="0" xfId="0" applyFont="1" applyFill="1"/>
    <xf numFmtId="0" fontId="10" fillId="9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44" fontId="3" fillId="0" borderId="1" xfId="6" applyFont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6" borderId="0" xfId="0" applyFont="1" applyFill="1"/>
    <xf numFmtId="0" fontId="12" fillId="0" borderId="30" xfId="0" applyFont="1" applyBorder="1" applyAlignment="1">
      <alignment horizontal="left"/>
    </xf>
    <xf numFmtId="0" fontId="0" fillId="0" borderId="31" xfId="0" applyBorder="1"/>
    <xf numFmtId="0" fontId="12" fillId="0" borderId="32" xfId="0" applyFont="1" applyBorder="1" applyAlignment="1">
      <alignment horizontal="left"/>
    </xf>
    <xf numFmtId="0" fontId="12" fillId="0" borderId="33" xfId="0" applyFont="1" applyBorder="1" applyAlignment="1">
      <alignment horizontal="left"/>
    </xf>
    <xf numFmtId="22" fontId="12" fillId="0" borderId="33" xfId="0" applyNumberFormat="1" applyFont="1" applyBorder="1" applyAlignment="1">
      <alignment horizontal="left"/>
    </xf>
    <xf numFmtId="22" fontId="0" fillId="0" borderId="0" xfId="0" applyNumberFormat="1"/>
    <xf numFmtId="0" fontId="12" fillId="0" borderId="34" xfId="0" applyFont="1" applyBorder="1" applyAlignment="1">
      <alignment horizontal="left"/>
    </xf>
    <xf numFmtId="22" fontId="12" fillId="0" borderId="35" xfId="0" applyNumberFormat="1" applyFont="1" applyBorder="1" applyAlignment="1">
      <alignment horizontal="left"/>
    </xf>
    <xf numFmtId="22" fontId="0" fillId="0" borderId="0" xfId="0" applyNumberFormat="1" applyAlignment="1">
      <alignment horizontal="center"/>
    </xf>
    <xf numFmtId="14" fontId="0" fillId="0" borderId="0" xfId="0" applyNumberFormat="1"/>
    <xf numFmtId="2" fontId="0" fillId="0" borderId="0" xfId="1" applyNumberFormat="1" applyFont="1"/>
    <xf numFmtId="21" fontId="3" fillId="0" borderId="1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vertical="center"/>
    </xf>
    <xf numFmtId="0" fontId="14" fillId="0" borderId="0" xfId="0" applyFont="1" applyAlignment="1">
      <alignment horizontal="left" indent="2"/>
    </xf>
    <xf numFmtId="20" fontId="0" fillId="0" borderId="0" xfId="0" applyNumberFormat="1"/>
    <xf numFmtId="0" fontId="0" fillId="0" borderId="0" xfId="0" quotePrefix="1"/>
    <xf numFmtId="0" fontId="15" fillId="15" borderId="0" xfId="0" applyFont="1" applyFill="1"/>
    <xf numFmtId="0" fontId="16" fillId="15" borderId="0" xfId="0" applyFont="1" applyFill="1"/>
    <xf numFmtId="44" fontId="0" fillId="0" borderId="0" xfId="6" applyFont="1"/>
    <xf numFmtId="49" fontId="17" fillId="0" borderId="1" xfId="0" applyNumberFormat="1" applyFont="1" applyBorder="1"/>
    <xf numFmtId="0" fontId="18" fillId="2" borderId="1" xfId="0" applyFont="1" applyFill="1" applyBorder="1" applyAlignment="1">
      <alignment horizontal="left" vertical="center"/>
    </xf>
    <xf numFmtId="0" fontId="18" fillId="2" borderId="1" xfId="0" quotePrefix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44" fontId="19" fillId="0" borderId="1" xfId="6" applyFont="1" applyBorder="1" applyAlignment="1">
      <alignment horizontal="center"/>
    </xf>
    <xf numFmtId="9" fontId="19" fillId="0" borderId="1" xfId="1" applyFont="1" applyBorder="1" applyAlignment="1">
      <alignment horizontal="center"/>
    </xf>
    <xf numFmtId="14" fontId="19" fillId="0" borderId="1" xfId="0" applyNumberFormat="1" applyFont="1" applyBorder="1" applyAlignment="1">
      <alignment horizontal="center"/>
    </xf>
    <xf numFmtId="169" fontId="19" fillId="0" borderId="1" xfId="0" applyNumberFormat="1" applyFont="1" applyBorder="1" applyAlignment="1">
      <alignment horizontal="center"/>
    </xf>
    <xf numFmtId="44" fontId="4" fillId="3" borderId="1" xfId="6" applyFont="1" applyFill="1" applyBorder="1" applyAlignment="1">
      <alignment vertical="center"/>
    </xf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center" vertical="center"/>
    </xf>
    <xf numFmtId="9" fontId="19" fillId="0" borderId="0" xfId="0" applyNumberFormat="1" applyFont="1"/>
    <xf numFmtId="0" fontId="21" fillId="0" borderId="0" xfId="0" applyFont="1" applyAlignment="1">
      <alignment horizontal="center" vertical="center"/>
    </xf>
    <xf numFmtId="0" fontId="23" fillId="8" borderId="1" xfId="0" applyFont="1" applyFill="1" applyBorder="1"/>
    <xf numFmtId="0" fontId="23" fillId="8" borderId="1" xfId="0" applyFont="1" applyFill="1" applyBorder="1" applyAlignment="1">
      <alignment horizontal="center" vertical="center"/>
    </xf>
    <xf numFmtId="44" fontId="20" fillId="0" borderId="1" xfId="3" applyFont="1" applyBorder="1"/>
    <xf numFmtId="10" fontId="20" fillId="0" borderId="1" xfId="1" applyNumberFormat="1" applyFont="1" applyBorder="1" applyAlignment="1">
      <alignment horizontal="center" vertical="center"/>
    </xf>
    <xf numFmtId="13" fontId="19" fillId="0" borderId="0" xfId="0" applyNumberFormat="1" applyFont="1"/>
    <xf numFmtId="9" fontId="20" fillId="0" borderId="1" xfId="0" applyNumberFormat="1" applyFont="1" applyBorder="1"/>
    <xf numFmtId="0" fontId="19" fillId="0" borderId="0" xfId="0" applyFont="1" applyAlignment="1">
      <alignment wrapText="1"/>
    </xf>
    <xf numFmtId="0" fontId="24" fillId="0" borderId="0" xfId="0" applyFont="1"/>
    <xf numFmtId="9" fontId="20" fillId="0" borderId="1" xfId="1" applyFont="1" applyBorder="1" applyAlignment="1">
      <alignment horizontal="center" vertical="center"/>
    </xf>
    <xf numFmtId="0" fontId="19" fillId="0" borderId="0" xfId="0" quotePrefix="1" applyFont="1"/>
    <xf numFmtId="0" fontId="25" fillId="0" borderId="0" xfId="0" applyFont="1"/>
    <xf numFmtId="44" fontId="20" fillId="0" borderId="1" xfId="3" applyFont="1" applyBorder="1" applyAlignment="1">
      <alignment horizontal="center" vertical="center"/>
    </xf>
    <xf numFmtId="9" fontId="20" fillId="0" borderId="1" xfId="1" applyFont="1" applyBorder="1"/>
    <xf numFmtId="9" fontId="19" fillId="0" borderId="0" xfId="1" applyFont="1"/>
    <xf numFmtId="0" fontId="26" fillId="0" borderId="0" xfId="0" applyFont="1"/>
    <xf numFmtId="0" fontId="26" fillId="9" borderId="0" xfId="0" applyFont="1" applyFill="1" applyAlignment="1">
      <alignment horizontal="center" vertical="center"/>
    </xf>
    <xf numFmtId="0" fontId="17" fillId="10" borderId="21" xfId="0" applyFont="1" applyFill="1" applyBorder="1" applyAlignment="1">
      <alignment horizontal="center" vertical="center"/>
    </xf>
    <xf numFmtId="17" fontId="18" fillId="11" borderId="22" xfId="0" applyNumberFormat="1" applyFont="1" applyFill="1" applyBorder="1" applyAlignment="1">
      <alignment horizontal="center" vertical="center"/>
    </xf>
    <xf numFmtId="17" fontId="18" fillId="11" borderId="23" xfId="0" applyNumberFormat="1" applyFont="1" applyFill="1" applyBorder="1" applyAlignment="1">
      <alignment horizontal="center" vertical="center"/>
    </xf>
    <xf numFmtId="0" fontId="22" fillId="6" borderId="0" xfId="0" applyFont="1" applyFill="1"/>
    <xf numFmtId="0" fontId="17" fillId="12" borderId="27" xfId="0" applyFont="1" applyFill="1" applyBorder="1" applyAlignment="1">
      <alignment horizontal="center" vertical="center"/>
    </xf>
    <xf numFmtId="44" fontId="19" fillId="12" borderId="0" xfId="6" applyFont="1" applyFill="1" applyBorder="1" applyAlignment="1">
      <alignment horizontal="center" vertical="center"/>
    </xf>
    <xf numFmtId="44" fontId="19" fillId="12" borderId="28" xfId="6" applyFont="1" applyFill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44" fontId="19" fillId="0" borderId="0" xfId="6" applyFont="1" applyBorder="1" applyAlignment="1">
      <alignment horizontal="center" vertical="center"/>
    </xf>
    <xf numFmtId="44" fontId="19" fillId="0" borderId="28" xfId="6" applyFont="1" applyBorder="1" applyAlignment="1">
      <alignment horizontal="center" vertical="center"/>
    </xf>
    <xf numFmtId="0" fontId="17" fillId="12" borderId="24" xfId="0" applyFont="1" applyFill="1" applyBorder="1" applyAlignment="1">
      <alignment horizontal="center" vertical="center"/>
    </xf>
    <xf numFmtId="44" fontId="19" fillId="12" borderId="25" xfId="6" applyFont="1" applyFill="1" applyBorder="1" applyAlignment="1">
      <alignment horizontal="center" vertical="center"/>
    </xf>
    <xf numFmtId="44" fontId="19" fillId="12" borderId="26" xfId="6" applyFont="1" applyFill="1" applyBorder="1" applyAlignment="1">
      <alignment horizontal="center" vertical="center"/>
    </xf>
    <xf numFmtId="0" fontId="26" fillId="9" borderId="0" xfId="0" applyFont="1" applyFill="1"/>
    <xf numFmtId="0" fontId="19" fillId="9" borderId="0" xfId="0" applyFont="1" applyFill="1"/>
    <xf numFmtId="0" fontId="18" fillId="13" borderId="29" xfId="0" applyFont="1" applyFill="1" applyBorder="1" applyAlignment="1">
      <alignment horizontal="center" vertical="center"/>
    </xf>
    <xf numFmtId="9" fontId="29" fillId="9" borderId="6" xfId="0" applyNumberFormat="1" applyFont="1" applyFill="1" applyBorder="1" applyAlignment="1">
      <alignment horizontal="center" vertical="center"/>
    </xf>
    <xf numFmtId="0" fontId="26" fillId="9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19" fillId="0" borderId="27" xfId="0" applyFont="1" applyBorder="1"/>
    <xf numFmtId="0" fontId="19" fillId="0" borderId="28" xfId="0" applyFont="1" applyBorder="1"/>
    <xf numFmtId="0" fontId="17" fillId="10" borderId="27" xfId="0" applyFont="1" applyFill="1" applyBorder="1" applyAlignment="1">
      <alignment horizontal="center" vertical="center"/>
    </xf>
    <xf numFmtId="9" fontId="19" fillId="10" borderId="0" xfId="0" applyNumberFormat="1" applyFont="1" applyFill="1" applyAlignment="1">
      <alignment horizontal="center" vertical="center"/>
    </xf>
    <xf numFmtId="9" fontId="19" fillId="10" borderId="28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9" fillId="0" borderId="24" xfId="0" applyFont="1" applyBorder="1"/>
    <xf numFmtId="0" fontId="18" fillId="14" borderId="21" xfId="0" applyFont="1" applyFill="1" applyBorder="1" applyAlignment="1">
      <alignment horizontal="center" vertical="center"/>
    </xf>
    <xf numFmtId="0" fontId="18" fillId="14" borderId="22" xfId="0" applyFont="1" applyFill="1" applyBorder="1" applyAlignment="1">
      <alignment horizontal="center" vertical="center"/>
    </xf>
    <xf numFmtId="0" fontId="18" fillId="11" borderId="22" xfId="0" applyFont="1" applyFill="1" applyBorder="1" applyAlignment="1">
      <alignment horizontal="center" vertical="center"/>
    </xf>
    <xf numFmtId="0" fontId="18" fillId="11" borderId="23" xfId="0" applyFont="1" applyFill="1" applyBorder="1" applyAlignment="1">
      <alignment horizontal="center" vertical="center"/>
    </xf>
    <xf numFmtId="17" fontId="22" fillId="12" borderId="27" xfId="0" applyNumberFormat="1" applyFont="1" applyFill="1" applyBorder="1" applyAlignment="1">
      <alignment horizontal="center" vertical="center"/>
    </xf>
    <xf numFmtId="17" fontId="22" fillId="0" borderId="27" xfId="0" applyNumberFormat="1" applyFont="1" applyBorder="1" applyAlignment="1">
      <alignment horizontal="center" vertical="center"/>
    </xf>
    <xf numFmtId="17" fontId="22" fillId="0" borderId="24" xfId="0" applyNumberFormat="1" applyFont="1" applyBorder="1" applyAlignment="1">
      <alignment horizontal="center" vertical="center"/>
    </xf>
    <xf numFmtId="9" fontId="19" fillId="10" borderId="25" xfId="0" applyNumberFormat="1" applyFont="1" applyFill="1" applyBorder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31" fillId="9" borderId="0" xfId="0" applyFont="1" applyFill="1"/>
    <xf numFmtId="0" fontId="31" fillId="9" borderId="0" xfId="0" applyFont="1" applyFill="1" applyAlignment="1">
      <alignment vertical="center"/>
    </xf>
    <xf numFmtId="0" fontId="30" fillId="0" borderId="0" xfId="0" applyFont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7" fontId="0" fillId="0" borderId="0" xfId="0" applyNumberFormat="1"/>
    <xf numFmtId="0" fontId="22" fillId="6" borderId="20" xfId="0" applyFont="1" applyFill="1" applyBorder="1" applyAlignment="1">
      <alignment horizontal="center" vertical="center" wrapText="1"/>
    </xf>
    <xf numFmtId="0" fontId="26" fillId="9" borderId="21" xfId="0" applyFont="1" applyFill="1" applyBorder="1" applyAlignment="1">
      <alignment horizontal="center" vertical="center"/>
    </xf>
    <xf numFmtId="0" fontId="26" fillId="9" borderId="22" xfId="0" applyFont="1" applyFill="1" applyBorder="1" applyAlignment="1">
      <alignment horizontal="center" vertical="center"/>
    </xf>
    <xf numFmtId="0" fontId="26" fillId="9" borderId="23" xfId="0" applyFont="1" applyFill="1" applyBorder="1" applyAlignment="1">
      <alignment horizontal="center" vertical="center"/>
    </xf>
    <xf numFmtId="0" fontId="26" fillId="9" borderId="24" xfId="0" applyFont="1" applyFill="1" applyBorder="1" applyAlignment="1">
      <alignment horizontal="center" vertical="center"/>
    </xf>
    <xf numFmtId="0" fontId="26" fillId="9" borderId="25" xfId="0" applyFont="1" applyFill="1" applyBorder="1" applyAlignment="1">
      <alignment horizontal="center" vertical="center"/>
    </xf>
    <xf numFmtId="0" fontId="26" fillId="9" borderId="2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6" borderId="3" xfId="0" applyFont="1" applyFill="1" applyBorder="1" applyAlignment="1">
      <alignment horizontal="center" vertical="center"/>
    </xf>
    <xf numFmtId="0" fontId="4" fillId="16" borderId="4" xfId="0" applyFont="1" applyFill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vertical="center"/>
    </xf>
    <xf numFmtId="44" fontId="4" fillId="16" borderId="1" xfId="0" applyNumberFormat="1" applyFont="1" applyFill="1" applyBorder="1" applyAlignment="1">
      <alignment horizontal="center" vertical="center"/>
    </xf>
    <xf numFmtId="44" fontId="4" fillId="16" borderId="3" xfId="0" applyNumberFormat="1" applyFont="1" applyFill="1" applyBorder="1" applyAlignment="1">
      <alignment horizontal="center" vertical="center"/>
    </xf>
    <xf numFmtId="44" fontId="4" fillId="16" borderId="4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</cellXfs>
  <cellStyles count="7">
    <cellStyle name="Moeda" xfId="6" builtinId="4"/>
    <cellStyle name="Moeda 2" xfId="3"/>
    <cellStyle name="Normal" xfId="0" builtinId="0"/>
    <cellStyle name="Nota" xfId="4" builtinId="10"/>
    <cellStyle name="Porcentagem" xfId="1" builtinId="5"/>
    <cellStyle name="Vírgula" xfId="5" builtinId="3"/>
    <cellStyle name="Vírgula 2" xfId="2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chartsheet" Target="chartsheets/sheet1.xml"/><Relationship Id="rId15" Type="http://schemas.openxmlformats.org/officeDocument/2006/relationships/worksheet" Target="worksheets/sheet14.xml"/><Relationship Id="rId10" Type="http://schemas.openxmlformats.org/officeDocument/2006/relationships/worksheet" Target="worksheets/sheet9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'4° Funcoes Matematicas'!$K$1:$M$1</c:f>
              <c:strCache>
                <c:ptCount val="3"/>
                <c:pt idx="0">
                  <c:v>Total de Unidades</c:v>
                </c:pt>
                <c:pt idx="1">
                  <c:v>Valor total de vendas</c:v>
                </c:pt>
                <c:pt idx="2">
                  <c:v>Total  de cadeiras </c:v>
                </c:pt>
              </c:strCache>
            </c:strRef>
          </c:cat>
          <c:val>
            <c:numRef>
              <c:f>'4° Funcoes Matematicas'!$K$2:$M$2</c:f>
              <c:numCache>
                <c:formatCode>_("R$"* #,##0.00_);_("R$"* \(#,##0.00\);_("R$"* "-"??_);_(@_)</c:formatCode>
                <c:ptCount val="3"/>
                <c:pt idx="0" formatCode="_(* #,##0_);_(* \(#,##0\);_(* &quot;-&quot;??_);_(@_)">
                  <c:v>1742</c:v>
                </c:pt>
                <c:pt idx="1">
                  <c:v>1118798.8</c:v>
                </c:pt>
                <c:pt idx="2" formatCode="_-* #,##0_-;\-* #,##0_-;_-* &quot;-&quot;??_-;_-@_-">
                  <c:v>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5-47CC-A8D0-0BB50F929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108400"/>
        <c:axId val="354110064"/>
      </c:barChart>
      <c:catAx>
        <c:axId val="35410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110064"/>
        <c:crosses val="autoZero"/>
        <c:auto val="1"/>
        <c:lblAlgn val="ctr"/>
        <c:lblOffset val="100"/>
        <c:noMultiLvlLbl val="0"/>
      </c:catAx>
      <c:valAx>
        <c:axId val="35411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410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5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1</xdr:row>
      <xdr:rowOff>171450</xdr:rowOff>
    </xdr:from>
    <xdr:to>
      <xdr:col>14</xdr:col>
      <xdr:colOff>533400</xdr:colOff>
      <xdr:row>7</xdr:row>
      <xdr:rowOff>114300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58FA4A1-2D6C-432B-9976-3E2FA870B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62750" y="361950"/>
          <a:ext cx="5267325" cy="2124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40957" cy="6013174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419100</xdr:colOff>
      <xdr:row>24</xdr:row>
      <xdr:rowOff>238125</xdr:rowOff>
    </xdr:from>
    <xdr:to>
      <xdr:col>12</xdr:col>
      <xdr:colOff>190500</xdr:colOff>
      <xdr:row>35</xdr:row>
      <xdr:rowOff>92672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6CFF34-DF71-44FA-B158-1321F5622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00950" y="6038850"/>
          <a:ext cx="1600200" cy="20493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1981200</xdr:colOff>
      <xdr:row>43</xdr:row>
      <xdr:rowOff>9525</xdr:rowOff>
    </xdr:from>
    <xdr:to>
      <xdr:col>11</xdr:col>
      <xdr:colOff>382359</xdr:colOff>
      <xdr:row>54</xdr:row>
      <xdr:rowOff>53211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36BADE68-98AE-4EED-AC3B-6393C34DE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81850" y="9629775"/>
          <a:ext cx="1600200" cy="20493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161925</xdr:colOff>
      <xdr:row>3</xdr:row>
      <xdr:rowOff>1076325</xdr:rowOff>
    </xdr:from>
    <xdr:to>
      <xdr:col>12</xdr:col>
      <xdr:colOff>333506</xdr:colOff>
      <xdr:row>13</xdr:row>
      <xdr:rowOff>91910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37C82472-2776-4B0D-AC9E-D86FE8748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75" y="1209675"/>
          <a:ext cx="1390780" cy="1781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130" zoomScaleNormal="130" workbookViewId="0">
      <selection activeCell="A11" sqref="A11"/>
    </sheetView>
  </sheetViews>
  <sheetFormatPr defaultRowHeight="14.25"/>
  <cols>
    <col min="1" max="1" width="15.25" bestFit="1" customWidth="1"/>
    <col min="2" max="2" width="11.375" bestFit="1" customWidth="1"/>
    <col min="3" max="3" width="11" bestFit="1" customWidth="1"/>
    <col min="4" max="4" width="11.375" bestFit="1" customWidth="1"/>
    <col min="5" max="5" width="12.25" bestFit="1" customWidth="1"/>
  </cols>
  <sheetData>
    <row r="1" spans="1:5" ht="18">
      <c r="A1" s="92" t="s">
        <v>0</v>
      </c>
      <c r="B1" s="91" t="s">
        <v>1</v>
      </c>
      <c r="C1" s="91" t="s">
        <v>2</v>
      </c>
      <c r="D1" s="91" t="s">
        <v>3</v>
      </c>
      <c r="E1" s="91" t="s">
        <v>4</v>
      </c>
    </row>
    <row r="2" spans="1:5" ht="15.75">
      <c r="A2" s="3" t="s">
        <v>5</v>
      </c>
      <c r="B2">
        <v>250</v>
      </c>
      <c r="C2">
        <v>343</v>
      </c>
      <c r="D2">
        <v>294</v>
      </c>
      <c r="E2" s="93">
        <v>178</v>
      </c>
    </row>
    <row r="3" spans="1:5" ht="15.75">
      <c r="A3" s="3" t="s">
        <v>6</v>
      </c>
      <c r="B3">
        <v>315</v>
      </c>
      <c r="C3">
        <v>289</v>
      </c>
      <c r="D3">
        <v>371</v>
      </c>
      <c r="E3" s="93">
        <v>249</v>
      </c>
    </row>
    <row r="4" spans="1:5" ht="15.75">
      <c r="A4" s="3" t="s">
        <v>7</v>
      </c>
      <c r="B4">
        <v>273</v>
      </c>
      <c r="C4">
        <v>312</v>
      </c>
      <c r="D4">
        <v>305</v>
      </c>
      <c r="E4" s="93">
        <v>316</v>
      </c>
    </row>
    <row r="5" spans="1:5" ht="15.75">
      <c r="A5" s="3" t="s">
        <v>8</v>
      </c>
      <c r="B5">
        <v>361</v>
      </c>
      <c r="C5">
        <v>329</v>
      </c>
      <c r="D5">
        <v>350</v>
      </c>
      <c r="E5" s="93">
        <v>330</v>
      </c>
    </row>
    <row r="6" spans="1:5" ht="15.75">
      <c r="A6" s="3" t="s">
        <v>9</v>
      </c>
      <c r="B6">
        <v>189</v>
      </c>
      <c r="C6">
        <v>451</v>
      </c>
      <c r="D6">
        <v>374</v>
      </c>
      <c r="E6" s="93">
        <v>296</v>
      </c>
    </row>
    <row r="7" spans="1:5" ht="15.75">
      <c r="A7" s="3" t="s">
        <v>10</v>
      </c>
      <c r="B7">
        <v>273</v>
      </c>
      <c r="C7">
        <v>123</v>
      </c>
      <c r="D7">
        <v>305</v>
      </c>
      <c r="E7" s="93">
        <v>316</v>
      </c>
    </row>
    <row r="8" spans="1:5" ht="15.75">
      <c r="A8" s="3" t="s">
        <v>11</v>
      </c>
      <c r="B8">
        <v>319</v>
      </c>
      <c r="C8">
        <v>245</v>
      </c>
      <c r="D8">
        <v>341</v>
      </c>
      <c r="E8" s="93">
        <v>226</v>
      </c>
    </row>
    <row r="9" spans="1:5" ht="15.75">
      <c r="A9" s="3" t="s">
        <v>12</v>
      </c>
      <c r="B9">
        <v>342</v>
      </c>
      <c r="C9">
        <v>340</v>
      </c>
      <c r="D9">
        <v>363</v>
      </c>
      <c r="E9" s="93">
        <v>319</v>
      </c>
    </row>
    <row r="10" spans="1:5" ht="15.75">
      <c r="A10" s="3" t="s">
        <v>13</v>
      </c>
      <c r="B10">
        <v>409</v>
      </c>
      <c r="C10">
        <v>380</v>
      </c>
      <c r="D10">
        <v>373</v>
      </c>
      <c r="E10" s="93">
        <v>423</v>
      </c>
    </row>
    <row r="11" spans="1:5" ht="15.75">
      <c r="A11" s="3" t="s">
        <v>14</v>
      </c>
      <c r="B11">
        <v>2731</v>
      </c>
      <c r="C11">
        <v>2812</v>
      </c>
      <c r="D11">
        <v>3076</v>
      </c>
      <c r="E11" s="93">
        <v>2653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I29"/>
  <sheetViews>
    <sheetView showGridLines="0" zoomScaleNormal="100" workbookViewId="0">
      <selection activeCell="K20" sqref="K20"/>
    </sheetView>
  </sheetViews>
  <sheetFormatPr defaultRowHeight="15"/>
  <cols>
    <col min="2" max="2" width="8.875" style="4" bestFit="1" customWidth="1"/>
    <col min="3" max="3" width="12.25" style="4" customWidth="1"/>
    <col min="4" max="4" width="18" style="4" customWidth="1"/>
    <col min="5" max="5" width="14.375" style="4" customWidth="1"/>
    <col min="6" max="6" width="16.375" style="4" customWidth="1"/>
  </cols>
  <sheetData>
    <row r="3" spans="2:9" ht="99" customHeight="1"/>
    <row r="4" spans="2:9">
      <c r="B4" s="5" t="s">
        <v>16</v>
      </c>
      <c r="C4" s="6" t="s">
        <v>17</v>
      </c>
      <c r="D4" s="7" t="s">
        <v>18</v>
      </c>
      <c r="E4" s="6" t="s">
        <v>19</v>
      </c>
      <c r="F4" s="6" t="s">
        <v>20</v>
      </c>
    </row>
    <row r="5" spans="2:9" ht="14.25">
      <c r="B5" s="94" t="s">
        <v>21</v>
      </c>
      <c r="C5" s="8">
        <f ca="1">RANDBETWEEN(100,1000)</f>
        <v>391</v>
      </c>
      <c r="D5" s="9">
        <v>0.3</v>
      </c>
      <c r="E5" s="10">
        <v>44287</v>
      </c>
      <c r="F5" s="10">
        <v>11996454123</v>
      </c>
    </row>
    <row r="6" spans="2:9" ht="14.25">
      <c r="B6" s="94" t="s">
        <v>22</v>
      </c>
      <c r="C6" s="8">
        <f t="shared" ref="C6:C14" ca="1" si="0">RANDBETWEEN(100,1000)</f>
        <v>965</v>
      </c>
      <c r="D6" s="9">
        <v>0.2</v>
      </c>
      <c r="E6" s="10">
        <v>43895</v>
      </c>
      <c r="F6" s="10">
        <v>11996454123</v>
      </c>
    </row>
    <row r="7" spans="2:9" ht="14.25">
      <c r="B7" s="94" t="s">
        <v>23</v>
      </c>
      <c r="C7" s="8">
        <f t="shared" ca="1" si="0"/>
        <v>406</v>
      </c>
      <c r="D7" s="9">
        <v>0.1</v>
      </c>
      <c r="E7" s="10">
        <v>45010</v>
      </c>
      <c r="F7" s="10">
        <v>11996454123</v>
      </c>
    </row>
    <row r="8" spans="2:9" ht="14.25">
      <c r="B8" s="94" t="s">
        <v>24</v>
      </c>
      <c r="C8" s="8">
        <f t="shared" ca="1" si="0"/>
        <v>207</v>
      </c>
      <c r="D8" s="9">
        <v>0.16</v>
      </c>
      <c r="E8" s="10">
        <v>44287</v>
      </c>
      <c r="F8" s="10">
        <v>11996454123</v>
      </c>
    </row>
    <row r="9" spans="2:9" ht="14.25">
      <c r="B9" s="94" t="s">
        <v>25</v>
      </c>
      <c r="C9" s="8">
        <f t="shared" ca="1" si="0"/>
        <v>119</v>
      </c>
      <c r="D9" s="9">
        <v>0.25</v>
      </c>
      <c r="E9" s="10">
        <v>43895</v>
      </c>
      <c r="F9" s="10">
        <v>11996454123</v>
      </c>
    </row>
    <row r="10" spans="2:9" ht="14.25">
      <c r="B10" s="94" t="s">
        <v>26</v>
      </c>
      <c r="C10" s="8">
        <f t="shared" ca="1" si="0"/>
        <v>926</v>
      </c>
      <c r="D10" s="9">
        <v>0.16</v>
      </c>
      <c r="E10" s="10">
        <v>45010</v>
      </c>
      <c r="F10" s="10">
        <v>11996454123</v>
      </c>
    </row>
    <row r="11" spans="2:9" ht="14.25">
      <c r="B11" s="94" t="s">
        <v>15</v>
      </c>
      <c r="C11" s="8">
        <f t="shared" ca="1" si="0"/>
        <v>198</v>
      </c>
      <c r="D11" s="9">
        <v>0.14599999999999999</v>
      </c>
      <c r="E11" s="10">
        <v>44287</v>
      </c>
      <c r="F11" s="10">
        <v>11996454123</v>
      </c>
    </row>
    <row r="12" spans="2:9" ht="14.25">
      <c r="B12" s="94" t="s">
        <v>27</v>
      </c>
      <c r="C12" s="8">
        <f t="shared" ca="1" si="0"/>
        <v>966</v>
      </c>
      <c r="D12" s="9">
        <v>0.13200000000000001</v>
      </c>
      <c r="E12" s="10">
        <v>43895</v>
      </c>
      <c r="F12" s="10">
        <v>11996454123</v>
      </c>
    </row>
    <row r="13" spans="2:9" ht="14.25">
      <c r="B13" s="94" t="s">
        <v>28</v>
      </c>
      <c r="C13" s="8">
        <f t="shared" ca="1" si="0"/>
        <v>558</v>
      </c>
      <c r="D13" s="9">
        <v>0.11799999999999999</v>
      </c>
      <c r="E13" s="10">
        <v>45010</v>
      </c>
      <c r="F13" s="10">
        <v>11996454123</v>
      </c>
    </row>
    <row r="14" spans="2:9" ht="14.25">
      <c r="B14" s="94" t="s">
        <v>29</v>
      </c>
      <c r="C14" s="8">
        <f t="shared" ca="1" si="0"/>
        <v>500</v>
      </c>
      <c r="D14" s="9">
        <v>0.104</v>
      </c>
      <c r="E14" s="10">
        <v>44287</v>
      </c>
      <c r="F14" s="10">
        <v>11996454123</v>
      </c>
    </row>
    <row r="16" spans="2:9" ht="14.25">
      <c r="B16"/>
      <c r="C16"/>
      <c r="D16"/>
      <c r="E16"/>
      <c r="F16"/>
    </row>
    <row r="17" spans="2:6" ht="14.25">
      <c r="B17"/>
      <c r="C17"/>
      <c r="D17"/>
      <c r="E17"/>
      <c r="F17"/>
    </row>
    <row r="18" spans="2:6" ht="14.25">
      <c r="B18" s="95" t="s">
        <v>16</v>
      </c>
      <c r="C18" s="96" t="s">
        <v>17</v>
      </c>
      <c r="D18" s="97" t="s">
        <v>18</v>
      </c>
      <c r="E18" s="96" t="s">
        <v>19</v>
      </c>
      <c r="F18" s="96" t="s">
        <v>20</v>
      </c>
    </row>
    <row r="19" spans="2:6" ht="14.25">
      <c r="B19" s="94" t="s">
        <v>21</v>
      </c>
      <c r="C19" s="98">
        <f ca="1">RANDBETWEEN(100,1000)</f>
        <v>546</v>
      </c>
      <c r="D19" s="99">
        <v>0.3</v>
      </c>
      <c r="E19" s="100">
        <v>44287</v>
      </c>
      <c r="F19" s="101">
        <v>11996454123</v>
      </c>
    </row>
    <row r="20" spans="2:6" ht="14.25">
      <c r="B20" s="94" t="s">
        <v>22</v>
      </c>
      <c r="C20" s="98">
        <f t="shared" ref="C20:C28" ca="1" si="1">RANDBETWEEN(100,1000)</f>
        <v>355</v>
      </c>
      <c r="D20" s="99">
        <v>0.2</v>
      </c>
      <c r="E20" s="100">
        <v>43895</v>
      </c>
      <c r="F20" s="101">
        <v>11996454123</v>
      </c>
    </row>
    <row r="21" spans="2:6" ht="14.25">
      <c r="B21" s="94" t="s">
        <v>23</v>
      </c>
      <c r="C21" s="98">
        <f t="shared" ca="1" si="1"/>
        <v>187</v>
      </c>
      <c r="D21" s="99">
        <v>0.1</v>
      </c>
      <c r="E21" s="100">
        <v>45010</v>
      </c>
      <c r="F21" s="101">
        <v>11996454123</v>
      </c>
    </row>
    <row r="22" spans="2:6" ht="14.25">
      <c r="B22" s="94" t="s">
        <v>24</v>
      </c>
      <c r="C22" s="98">
        <f t="shared" ca="1" si="1"/>
        <v>839</v>
      </c>
      <c r="D22" s="99">
        <v>0.16</v>
      </c>
      <c r="E22" s="100">
        <v>44287</v>
      </c>
      <c r="F22" s="101">
        <v>11996454123</v>
      </c>
    </row>
    <row r="23" spans="2:6" ht="14.25">
      <c r="B23" s="94" t="s">
        <v>25</v>
      </c>
      <c r="C23" s="98">
        <f t="shared" ca="1" si="1"/>
        <v>315</v>
      </c>
      <c r="D23" s="99">
        <v>0.25</v>
      </c>
      <c r="E23" s="100">
        <v>43895</v>
      </c>
      <c r="F23" s="101">
        <v>11996454123</v>
      </c>
    </row>
    <row r="24" spans="2:6" ht="14.25">
      <c r="B24" s="94" t="s">
        <v>26</v>
      </c>
      <c r="C24" s="98">
        <f t="shared" ca="1" si="1"/>
        <v>723</v>
      </c>
      <c r="D24" s="99">
        <v>0.16</v>
      </c>
      <c r="E24" s="100">
        <v>45010</v>
      </c>
      <c r="F24" s="101">
        <v>11996454123</v>
      </c>
    </row>
    <row r="25" spans="2:6" ht="14.25">
      <c r="B25" s="94" t="s">
        <v>15</v>
      </c>
      <c r="C25" s="98">
        <f t="shared" ca="1" si="1"/>
        <v>382</v>
      </c>
      <c r="D25" s="99">
        <v>0.14599999999999999</v>
      </c>
      <c r="E25" s="100">
        <v>44287</v>
      </c>
      <c r="F25" s="101">
        <v>11996454123</v>
      </c>
    </row>
    <row r="26" spans="2:6" ht="14.25">
      <c r="B26" s="94" t="s">
        <v>27</v>
      </c>
      <c r="C26" s="98">
        <f t="shared" ca="1" si="1"/>
        <v>916</v>
      </c>
      <c r="D26" s="99">
        <v>0.13200000000000001</v>
      </c>
      <c r="E26" s="100">
        <v>43895</v>
      </c>
      <c r="F26" s="101">
        <v>11996454123</v>
      </c>
    </row>
    <row r="27" spans="2:6" ht="14.25">
      <c r="B27" s="94" t="s">
        <v>28</v>
      </c>
      <c r="C27" s="98">
        <f t="shared" ca="1" si="1"/>
        <v>850</v>
      </c>
      <c r="D27" s="99">
        <v>0.11799999999999999</v>
      </c>
      <c r="E27" s="100">
        <v>45010</v>
      </c>
      <c r="F27" s="101">
        <v>11996454123</v>
      </c>
    </row>
    <row r="28" spans="2:6" ht="14.25">
      <c r="B28" s="94" t="s">
        <v>29</v>
      </c>
      <c r="C28" s="98">
        <f t="shared" ca="1" si="1"/>
        <v>570</v>
      </c>
      <c r="D28" s="99">
        <v>0.104</v>
      </c>
      <c r="E28" s="100">
        <v>44287</v>
      </c>
      <c r="F28" s="101">
        <v>11996454123</v>
      </c>
    </row>
    <row r="29" spans="2:6" ht="14.25">
      <c r="B29"/>
      <c r="C29"/>
      <c r="D29"/>
      <c r="E29"/>
      <c r="F2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2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25"/>
  <cols>
    <col min="1" max="1" width="29.75" bestFit="1" customWidth="1"/>
    <col min="2" max="2" width="14.375" bestFit="1" customWidth="1"/>
    <col min="3" max="3" width="12.625" bestFit="1" customWidth="1"/>
    <col min="4" max="4" width="15.125" bestFit="1" customWidth="1"/>
    <col min="5" max="5" width="13.625" bestFit="1" customWidth="1"/>
    <col min="6" max="6" width="10.75" bestFit="1" customWidth="1"/>
  </cols>
  <sheetData>
    <row r="1" spans="1:6" ht="15.75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4"/>
    </row>
    <row r="2" spans="1:6" ht="15">
      <c r="A2" s="1" t="s">
        <v>35</v>
      </c>
      <c r="B2" s="1" t="s">
        <v>36</v>
      </c>
      <c r="C2" s="1" t="s">
        <v>37</v>
      </c>
      <c r="D2" s="1" t="s">
        <v>38</v>
      </c>
      <c r="E2" s="12">
        <v>1360.625</v>
      </c>
      <c r="F2" s="15"/>
    </row>
    <row r="3" spans="1:6" ht="15">
      <c r="A3" s="1" t="s">
        <v>39</v>
      </c>
      <c r="B3" s="1" t="s">
        <v>36</v>
      </c>
      <c r="C3" s="1" t="s">
        <v>37</v>
      </c>
      <c r="D3" s="1" t="s">
        <v>40</v>
      </c>
      <c r="E3" s="12">
        <v>2143.75</v>
      </c>
      <c r="F3" s="15"/>
    </row>
    <row r="4" spans="1:6" ht="15">
      <c r="A4" s="1" t="s">
        <v>41</v>
      </c>
      <c r="B4" s="1" t="s">
        <v>36</v>
      </c>
      <c r="C4" s="1" t="s">
        <v>37</v>
      </c>
      <c r="D4" s="1" t="s">
        <v>40</v>
      </c>
      <c r="E4" s="12">
        <v>1080.625</v>
      </c>
      <c r="F4" s="15"/>
    </row>
    <row r="5" spans="1:6" ht="15">
      <c r="A5" s="1" t="s">
        <v>42</v>
      </c>
      <c r="B5" s="1" t="s">
        <v>43</v>
      </c>
      <c r="C5" s="1" t="s">
        <v>44</v>
      </c>
      <c r="D5" s="1" t="s">
        <v>45</v>
      </c>
      <c r="E5" s="12">
        <v>586.25</v>
      </c>
      <c r="F5" s="15"/>
    </row>
    <row r="6" spans="1:6" ht="15">
      <c r="A6" s="1" t="s">
        <v>46</v>
      </c>
      <c r="B6" s="1" t="s">
        <v>47</v>
      </c>
      <c r="C6" s="1" t="s">
        <v>48</v>
      </c>
      <c r="D6" s="1" t="s">
        <v>49</v>
      </c>
      <c r="E6" s="12">
        <v>793.75</v>
      </c>
      <c r="F6" s="15"/>
    </row>
    <row r="7" spans="1:6" ht="15">
      <c r="A7" s="1" t="s">
        <v>50</v>
      </c>
      <c r="B7" s="1" t="s">
        <v>47</v>
      </c>
      <c r="C7" s="1" t="s">
        <v>48</v>
      </c>
      <c r="D7" s="1" t="s">
        <v>51</v>
      </c>
      <c r="E7" s="12">
        <v>793.75</v>
      </c>
      <c r="F7" s="15"/>
    </row>
    <row r="8" spans="1:6" ht="15">
      <c r="A8" s="1" t="s">
        <v>52</v>
      </c>
      <c r="B8" s="1" t="s">
        <v>47</v>
      </c>
      <c r="C8" s="1" t="s">
        <v>48</v>
      </c>
      <c r="D8" s="1" t="s">
        <v>51</v>
      </c>
      <c r="E8" s="12">
        <v>1335</v>
      </c>
      <c r="F8" s="15"/>
    </row>
    <row r="9" spans="1:6" ht="15">
      <c r="A9" s="1" t="s">
        <v>53</v>
      </c>
      <c r="B9" s="1" t="s">
        <v>43</v>
      </c>
      <c r="C9" s="1" t="s">
        <v>54</v>
      </c>
      <c r="D9" s="1" t="s">
        <v>38</v>
      </c>
      <c r="E9" s="12">
        <v>532.5</v>
      </c>
      <c r="F9" s="15"/>
    </row>
    <row r="10" spans="1:6" ht="15">
      <c r="A10" s="1" t="s">
        <v>55</v>
      </c>
      <c r="B10" s="1" t="s">
        <v>43</v>
      </c>
      <c r="C10" s="1" t="s">
        <v>54</v>
      </c>
      <c r="D10" s="1" t="s">
        <v>38</v>
      </c>
      <c r="E10" s="12">
        <v>643.75</v>
      </c>
      <c r="F10" s="15"/>
    </row>
    <row r="11" spans="1:6" ht="15">
      <c r="A11" s="1" t="s">
        <v>56</v>
      </c>
      <c r="B11" s="1" t="s">
        <v>57</v>
      </c>
      <c r="C11" s="1" t="s">
        <v>58</v>
      </c>
      <c r="D11" s="1" t="s">
        <v>38</v>
      </c>
      <c r="E11" s="12">
        <v>1290</v>
      </c>
      <c r="F11" s="15"/>
    </row>
    <row r="12" spans="1:6" ht="15">
      <c r="A12" s="1" t="s">
        <v>59</v>
      </c>
      <c r="B12" s="1" t="s">
        <v>57</v>
      </c>
      <c r="C12" s="1" t="s">
        <v>58</v>
      </c>
      <c r="D12" s="1" t="s">
        <v>60</v>
      </c>
      <c r="E12" s="12">
        <v>1900</v>
      </c>
      <c r="F12" s="15"/>
    </row>
    <row r="13" spans="1:6" ht="15">
      <c r="A13" s="1" t="s">
        <v>61</v>
      </c>
      <c r="B13" s="1" t="s">
        <v>57</v>
      </c>
      <c r="C13" s="1" t="s">
        <v>58</v>
      </c>
      <c r="D13" s="1" t="s">
        <v>62</v>
      </c>
      <c r="E13" s="12">
        <v>1968</v>
      </c>
      <c r="F13" s="15"/>
    </row>
    <row r="14" spans="1:6" ht="15">
      <c r="A14" s="1" t="s">
        <v>63</v>
      </c>
      <c r="B14" s="1" t="s">
        <v>57</v>
      </c>
      <c r="C14" s="1" t="s">
        <v>58</v>
      </c>
      <c r="D14" s="1" t="s">
        <v>62</v>
      </c>
      <c r="E14" s="12">
        <v>1980</v>
      </c>
      <c r="F14" s="15"/>
    </row>
    <row r="15" spans="1:6" ht="15">
      <c r="A15" s="1" t="s">
        <v>64</v>
      </c>
      <c r="B15" s="1" t="s">
        <v>36</v>
      </c>
      <c r="C15" s="1" t="s">
        <v>58</v>
      </c>
      <c r="D15" s="1" t="s">
        <v>51</v>
      </c>
      <c r="E15" s="12">
        <v>1443.75</v>
      </c>
      <c r="F15" s="15"/>
    </row>
    <row r="16" spans="1:6" ht="15">
      <c r="A16" s="1" t="s">
        <v>65</v>
      </c>
      <c r="B16" s="1" t="s">
        <v>66</v>
      </c>
      <c r="C16" s="1" t="s">
        <v>67</v>
      </c>
      <c r="D16" s="1" t="s">
        <v>62</v>
      </c>
      <c r="E16" s="12">
        <v>567.5</v>
      </c>
      <c r="F16" s="15"/>
    </row>
    <row r="17" spans="1:6" ht="15">
      <c r="A17" s="1" t="s">
        <v>68</v>
      </c>
      <c r="B17" s="1" t="s">
        <v>66</v>
      </c>
      <c r="C17" s="1" t="s">
        <v>67</v>
      </c>
      <c r="D17" s="1" t="s">
        <v>69</v>
      </c>
      <c r="E17" s="12">
        <v>537.5</v>
      </c>
      <c r="F17" s="15"/>
    </row>
    <row r="18" spans="1:6" ht="15">
      <c r="A18" s="1" t="s">
        <v>70</v>
      </c>
      <c r="B18" s="1" t="s">
        <v>36</v>
      </c>
      <c r="C18" s="1" t="s">
        <v>71</v>
      </c>
      <c r="D18" s="1" t="s">
        <v>69</v>
      </c>
      <c r="E18" s="12">
        <v>1470</v>
      </c>
      <c r="F18" s="15"/>
    </row>
    <row r="19" spans="1:6" ht="15">
      <c r="A19" s="1" t="s">
        <v>72</v>
      </c>
      <c r="B19" s="1" t="s">
        <v>73</v>
      </c>
      <c r="C19" s="1" t="s">
        <v>74</v>
      </c>
      <c r="D19" s="1" t="s">
        <v>60</v>
      </c>
      <c r="E19" s="12">
        <v>670</v>
      </c>
      <c r="F19" s="15"/>
    </row>
    <row r="20" spans="1:6" ht="15">
      <c r="A20" s="1" t="s">
        <v>75</v>
      </c>
      <c r="B20" s="1" t="s">
        <v>73</v>
      </c>
      <c r="C20" s="1" t="s">
        <v>74</v>
      </c>
      <c r="D20" s="1" t="s">
        <v>76</v>
      </c>
      <c r="E20" s="12">
        <v>2012</v>
      </c>
      <c r="F20" s="15"/>
    </row>
    <row r="21" spans="1:6" ht="15">
      <c r="A21" s="1" t="s">
        <v>77</v>
      </c>
      <c r="B21" s="1" t="s">
        <v>36</v>
      </c>
      <c r="C21" s="1" t="s">
        <v>74</v>
      </c>
      <c r="D21" s="1" t="s">
        <v>49</v>
      </c>
      <c r="E21" s="12">
        <v>1500.625</v>
      </c>
      <c r="F21" s="15"/>
    </row>
    <row r="22" spans="1:6" ht="15">
      <c r="A22" s="1" t="s">
        <v>78</v>
      </c>
      <c r="B22" s="1" t="s">
        <v>73</v>
      </c>
      <c r="C22" s="1" t="s">
        <v>79</v>
      </c>
      <c r="D22" s="1" t="s">
        <v>80</v>
      </c>
      <c r="E22" s="12">
        <v>1945</v>
      </c>
      <c r="F22" s="15"/>
    </row>
    <row r="23" spans="1:6" ht="15">
      <c r="A23" s="1" t="s">
        <v>81</v>
      </c>
      <c r="B23" s="1" t="s">
        <v>43</v>
      </c>
      <c r="C23" s="1" t="s">
        <v>82</v>
      </c>
      <c r="D23" s="1" t="s">
        <v>60</v>
      </c>
      <c r="E23" s="12">
        <v>638.75</v>
      </c>
      <c r="F23" s="15"/>
    </row>
    <row r="24" spans="1:6" ht="15">
      <c r="A24" s="1" t="s">
        <v>83</v>
      </c>
      <c r="B24" s="1" t="s">
        <v>84</v>
      </c>
      <c r="C24" s="1" t="s">
        <v>85</v>
      </c>
      <c r="D24" s="1" t="s">
        <v>38</v>
      </c>
      <c r="E24" s="12">
        <v>858.75</v>
      </c>
      <c r="F24" s="15"/>
    </row>
    <row r="25" spans="1:6" ht="15">
      <c r="A25" s="1" t="s">
        <v>86</v>
      </c>
      <c r="B25" s="1" t="s">
        <v>84</v>
      </c>
      <c r="C25" s="1" t="s">
        <v>85</v>
      </c>
      <c r="D25" s="1" t="s">
        <v>40</v>
      </c>
      <c r="E25" s="12">
        <v>1713.75</v>
      </c>
      <c r="F25" s="15"/>
    </row>
    <row r="26" spans="1:6" ht="15">
      <c r="A26" s="1" t="s">
        <v>87</v>
      </c>
      <c r="B26" s="1" t="s">
        <v>84</v>
      </c>
      <c r="C26" s="1" t="s">
        <v>85</v>
      </c>
      <c r="D26" s="1" t="s">
        <v>88</v>
      </c>
      <c r="E26" s="12">
        <v>866.25</v>
      </c>
      <c r="F26" s="15"/>
    </row>
    <row r="27" spans="1:6" ht="15">
      <c r="A27" s="1" t="s">
        <v>89</v>
      </c>
      <c r="B27" s="1" t="s">
        <v>84</v>
      </c>
      <c r="C27" s="1" t="s">
        <v>85</v>
      </c>
      <c r="D27" s="1" t="s">
        <v>80</v>
      </c>
      <c r="E27" s="12">
        <v>1121.25</v>
      </c>
      <c r="F27" s="15"/>
    </row>
    <row r="28" spans="1:6" ht="15">
      <c r="A28" s="1" t="s">
        <v>90</v>
      </c>
      <c r="B28" s="1" t="s">
        <v>73</v>
      </c>
      <c r="C28" s="1" t="s">
        <v>91</v>
      </c>
      <c r="D28" s="1" t="s">
        <v>76</v>
      </c>
      <c r="E28" s="12">
        <v>2260</v>
      </c>
      <c r="F28" s="15"/>
    </row>
    <row r="29" spans="1:6" ht="15">
      <c r="A29" s="1" t="s">
        <v>92</v>
      </c>
      <c r="B29" s="1" t="s">
        <v>57</v>
      </c>
      <c r="C29" s="1" t="s">
        <v>91</v>
      </c>
      <c r="D29" s="1" t="s">
        <v>88</v>
      </c>
      <c r="E29" s="12">
        <v>772</v>
      </c>
      <c r="F29" s="15"/>
    </row>
    <row r="30" spans="1:6" ht="15">
      <c r="A30" s="1" t="s">
        <v>93</v>
      </c>
      <c r="B30" s="1" t="s">
        <v>43</v>
      </c>
      <c r="C30" s="1" t="s">
        <v>91</v>
      </c>
      <c r="D30" s="1" t="s">
        <v>51</v>
      </c>
      <c r="E30" s="12">
        <v>637.5</v>
      </c>
      <c r="F30" s="15"/>
    </row>
    <row r="31" spans="1:6" ht="15">
      <c r="A31" s="1" t="s">
        <v>94</v>
      </c>
      <c r="B31" s="1" t="s">
        <v>73</v>
      </c>
      <c r="C31" s="1" t="s">
        <v>95</v>
      </c>
      <c r="D31" s="1" t="s">
        <v>38</v>
      </c>
      <c r="E31" s="12">
        <v>2030</v>
      </c>
      <c r="F31" s="15"/>
    </row>
    <row r="32" spans="1:6" ht="15">
      <c r="A32" s="1" t="s">
        <v>96</v>
      </c>
      <c r="B32" s="1" t="s">
        <v>73</v>
      </c>
      <c r="C32" s="1" t="s">
        <v>95</v>
      </c>
      <c r="D32" s="1" t="s">
        <v>80</v>
      </c>
      <c r="E32" s="12">
        <v>1844</v>
      </c>
      <c r="F32" s="15"/>
    </row>
    <row r="33" spans="1:6" ht="15">
      <c r="A33" s="1" t="s">
        <v>97</v>
      </c>
      <c r="B33" s="1" t="s">
        <v>73</v>
      </c>
      <c r="C33" s="1" t="s">
        <v>95</v>
      </c>
      <c r="D33" s="1" t="s">
        <v>80</v>
      </c>
      <c r="E33" s="12">
        <v>1648</v>
      </c>
      <c r="F33" s="15"/>
    </row>
    <row r="34" spans="1:6" ht="15">
      <c r="A34" s="1" t="s">
        <v>98</v>
      </c>
      <c r="B34" s="1" t="s">
        <v>36</v>
      </c>
      <c r="C34" s="1" t="s">
        <v>99</v>
      </c>
      <c r="D34" s="1" t="s">
        <v>80</v>
      </c>
      <c r="E34" s="12">
        <v>1789.375</v>
      </c>
      <c r="F34" s="15"/>
    </row>
    <row r="35" spans="1:6" ht="15">
      <c r="A35" s="1" t="s">
        <v>100</v>
      </c>
      <c r="B35" s="1" t="s">
        <v>36</v>
      </c>
      <c r="C35" s="1" t="s">
        <v>101</v>
      </c>
      <c r="D35" s="1" t="s">
        <v>60</v>
      </c>
      <c r="E35" s="12">
        <v>1299.375</v>
      </c>
      <c r="F35" s="15"/>
    </row>
    <row r="36" spans="1:6" ht="15">
      <c r="A36" s="1" t="s">
        <v>102</v>
      </c>
      <c r="B36" s="1" t="s">
        <v>36</v>
      </c>
      <c r="C36" s="1" t="s">
        <v>101</v>
      </c>
      <c r="D36" s="1" t="s">
        <v>103</v>
      </c>
      <c r="E36" s="12">
        <v>1588.125</v>
      </c>
      <c r="F36" s="15"/>
    </row>
    <row r="37" spans="1:6" ht="15">
      <c r="A37" s="1" t="s">
        <v>104</v>
      </c>
      <c r="B37" s="1" t="s">
        <v>36</v>
      </c>
      <c r="C37" s="1" t="s">
        <v>101</v>
      </c>
      <c r="D37" s="1" t="s">
        <v>69</v>
      </c>
      <c r="E37" s="12">
        <v>2318.75</v>
      </c>
      <c r="F37" s="15"/>
    </row>
    <row r="38" spans="1:6" ht="15">
      <c r="A38" s="1" t="s">
        <v>105</v>
      </c>
      <c r="B38" s="1" t="s">
        <v>36</v>
      </c>
      <c r="C38" s="1" t="s">
        <v>101</v>
      </c>
      <c r="D38" s="1" t="s">
        <v>80</v>
      </c>
      <c r="E38" s="12">
        <v>997.5</v>
      </c>
      <c r="F38" s="15"/>
    </row>
    <row r="39" spans="1:6" ht="15">
      <c r="A39" s="1" t="s">
        <v>106</v>
      </c>
      <c r="B39" s="1" t="s">
        <v>57</v>
      </c>
      <c r="C39" s="1" t="s">
        <v>107</v>
      </c>
      <c r="D39" s="1" t="s">
        <v>60</v>
      </c>
      <c r="E39" s="12">
        <v>2144</v>
      </c>
      <c r="F39" s="15"/>
    </row>
    <row r="40" spans="1:6" ht="15">
      <c r="A40" s="1" t="s">
        <v>108</v>
      </c>
      <c r="B40" s="1" t="s">
        <v>73</v>
      </c>
      <c r="C40" s="1" t="s">
        <v>107</v>
      </c>
      <c r="D40" s="1" t="s">
        <v>60</v>
      </c>
      <c r="E40" s="12">
        <v>656</v>
      </c>
      <c r="F40" s="15"/>
    </row>
    <row r="41" spans="1:6" ht="15">
      <c r="A41" s="1" t="s">
        <v>109</v>
      </c>
      <c r="B41" s="1" t="s">
        <v>73</v>
      </c>
      <c r="C41" s="1" t="s">
        <v>107</v>
      </c>
      <c r="D41" s="1" t="s">
        <v>60</v>
      </c>
      <c r="E41" s="12">
        <v>1376</v>
      </c>
      <c r="F41" s="15"/>
    </row>
    <row r="42" spans="1:6" ht="15">
      <c r="A42" s="1" t="s">
        <v>110</v>
      </c>
      <c r="B42" s="1" t="s">
        <v>73</v>
      </c>
      <c r="C42" s="1" t="s">
        <v>107</v>
      </c>
      <c r="D42" s="1" t="s">
        <v>103</v>
      </c>
      <c r="E42" s="12">
        <v>1748</v>
      </c>
      <c r="F42" s="15"/>
    </row>
    <row r="43" spans="1:6" ht="15">
      <c r="A43" s="1" t="s">
        <v>111</v>
      </c>
      <c r="B43" s="1" t="s">
        <v>73</v>
      </c>
      <c r="C43" s="1" t="s">
        <v>107</v>
      </c>
      <c r="D43" s="1" t="s">
        <v>62</v>
      </c>
      <c r="E43" s="12">
        <v>916</v>
      </c>
      <c r="F43" s="15"/>
    </row>
    <row r="44" spans="1:6" ht="15">
      <c r="A44" s="1" t="s">
        <v>112</v>
      </c>
      <c r="B44" s="1" t="s">
        <v>36</v>
      </c>
      <c r="C44" s="1" t="s">
        <v>107</v>
      </c>
      <c r="D44" s="1" t="s">
        <v>62</v>
      </c>
      <c r="E44" s="12">
        <v>673.75</v>
      </c>
      <c r="F44" s="15"/>
    </row>
    <row r="45" spans="1:6" ht="15">
      <c r="A45" s="1" t="s">
        <v>113</v>
      </c>
      <c r="B45" s="1" t="s">
        <v>73</v>
      </c>
      <c r="C45" s="1" t="s">
        <v>107</v>
      </c>
      <c r="D45" s="1" t="s">
        <v>69</v>
      </c>
      <c r="E45" s="12">
        <v>1664</v>
      </c>
      <c r="F45" s="15"/>
    </row>
    <row r="46" spans="1:6" ht="15">
      <c r="A46" s="1" t="s">
        <v>114</v>
      </c>
      <c r="B46" s="1" t="s">
        <v>47</v>
      </c>
      <c r="C46" s="1" t="s">
        <v>107</v>
      </c>
      <c r="D46" s="1" t="s">
        <v>88</v>
      </c>
      <c r="E46" s="12">
        <v>825</v>
      </c>
      <c r="F46" s="15"/>
    </row>
    <row r="47" spans="1:6" ht="15">
      <c r="A47" s="1" t="s">
        <v>115</v>
      </c>
      <c r="B47" s="1" t="s">
        <v>73</v>
      </c>
      <c r="C47" s="1" t="s">
        <v>107</v>
      </c>
      <c r="D47" s="1" t="s">
        <v>88</v>
      </c>
      <c r="E47" s="12">
        <v>1008</v>
      </c>
      <c r="F47" s="15"/>
    </row>
    <row r="48" spans="1:6" ht="15">
      <c r="A48" s="1" t="s">
        <v>116</v>
      </c>
      <c r="B48" s="1" t="s">
        <v>73</v>
      </c>
      <c r="C48" s="1" t="s">
        <v>107</v>
      </c>
      <c r="D48" s="1" t="s">
        <v>49</v>
      </c>
      <c r="E48" s="12">
        <v>672</v>
      </c>
      <c r="F48" s="15"/>
    </row>
    <row r="49" spans="1:6" ht="15">
      <c r="A49" s="1" t="s">
        <v>117</v>
      </c>
      <c r="B49" s="1" t="s">
        <v>73</v>
      </c>
      <c r="C49" s="1" t="s">
        <v>107</v>
      </c>
      <c r="D49" s="1" t="s">
        <v>80</v>
      </c>
      <c r="E49" s="12">
        <v>1108</v>
      </c>
      <c r="F49" s="15"/>
    </row>
    <row r="50" spans="1:6" ht="15">
      <c r="A50" s="1" t="s">
        <v>118</v>
      </c>
      <c r="B50" s="1" t="s">
        <v>57</v>
      </c>
      <c r="C50" s="1" t="s">
        <v>107</v>
      </c>
      <c r="D50" s="1" t="s">
        <v>51</v>
      </c>
      <c r="E50" s="12">
        <v>768</v>
      </c>
      <c r="F50" s="15"/>
    </row>
    <row r="51" spans="1:6" ht="15">
      <c r="A51" s="1" t="s">
        <v>119</v>
      </c>
      <c r="B51" s="1" t="s">
        <v>73</v>
      </c>
      <c r="C51" s="1" t="s">
        <v>107</v>
      </c>
      <c r="D51" s="1" t="s">
        <v>51</v>
      </c>
      <c r="E51" s="12">
        <v>1800</v>
      </c>
      <c r="F51" s="15"/>
    </row>
    <row r="52" spans="1:6" ht="15">
      <c r="A52" s="1" t="s">
        <v>120</v>
      </c>
      <c r="B52" s="1" t="s">
        <v>66</v>
      </c>
      <c r="C52" s="1" t="s">
        <v>121</v>
      </c>
      <c r="D52" s="1" t="s">
        <v>38</v>
      </c>
      <c r="E52" s="12">
        <v>650</v>
      </c>
      <c r="F52" s="15"/>
    </row>
    <row r="53" spans="1:6" ht="15">
      <c r="A53" s="1" t="s">
        <v>122</v>
      </c>
      <c r="B53" s="1" t="s">
        <v>66</v>
      </c>
      <c r="C53" s="1" t="s">
        <v>123</v>
      </c>
      <c r="D53" s="1" t="s">
        <v>88</v>
      </c>
      <c r="E53" s="12">
        <v>672.5</v>
      </c>
      <c r="F53" s="15"/>
    </row>
    <row r="54" spans="1:6" ht="15">
      <c r="A54" s="1" t="s">
        <v>124</v>
      </c>
      <c r="B54" s="1" t="s">
        <v>73</v>
      </c>
      <c r="C54" s="1" t="s">
        <v>125</v>
      </c>
      <c r="D54" s="1" t="s">
        <v>103</v>
      </c>
      <c r="E54" s="12">
        <v>925</v>
      </c>
      <c r="F54" s="15"/>
    </row>
    <row r="55" spans="1:6" ht="15">
      <c r="A55" s="1" t="s">
        <v>126</v>
      </c>
      <c r="B55" s="1" t="s">
        <v>73</v>
      </c>
      <c r="C55" s="1" t="s">
        <v>125</v>
      </c>
      <c r="D55" s="1" t="s">
        <v>62</v>
      </c>
      <c r="E55" s="12">
        <v>560</v>
      </c>
      <c r="F55" s="15"/>
    </row>
    <row r="56" spans="1:6" ht="15">
      <c r="A56" s="1" t="s">
        <v>127</v>
      </c>
      <c r="B56" s="1" t="s">
        <v>73</v>
      </c>
      <c r="C56" s="1" t="s">
        <v>125</v>
      </c>
      <c r="D56" s="1" t="s">
        <v>69</v>
      </c>
      <c r="E56" s="12">
        <v>1744</v>
      </c>
      <c r="F56" s="15"/>
    </row>
    <row r="57" spans="1:6" ht="15">
      <c r="A57" s="1" t="s">
        <v>128</v>
      </c>
      <c r="B57" s="1" t="s">
        <v>73</v>
      </c>
      <c r="C57" s="1" t="s">
        <v>125</v>
      </c>
      <c r="D57" s="1" t="s">
        <v>49</v>
      </c>
      <c r="E57" s="12">
        <v>2610</v>
      </c>
      <c r="F57" s="15"/>
    </row>
    <row r="58" spans="1:6" ht="15">
      <c r="A58" s="1" t="s">
        <v>129</v>
      </c>
      <c r="B58" s="1" t="s">
        <v>73</v>
      </c>
      <c r="C58" s="1" t="s">
        <v>125</v>
      </c>
      <c r="D58" s="1" t="s">
        <v>80</v>
      </c>
      <c r="E58" s="12">
        <v>740</v>
      </c>
      <c r="F58" s="15"/>
    </row>
    <row r="59" spans="1:6" ht="15">
      <c r="A59" s="1" t="s">
        <v>130</v>
      </c>
      <c r="B59" s="1" t="s">
        <v>73</v>
      </c>
      <c r="C59" s="1" t="s">
        <v>125</v>
      </c>
      <c r="D59" s="1" t="s">
        <v>51</v>
      </c>
      <c r="E59" s="12">
        <v>805</v>
      </c>
      <c r="F59" s="15"/>
    </row>
    <row r="60" spans="1:6" ht="15">
      <c r="A60" s="1" t="s">
        <v>52</v>
      </c>
      <c r="B60" s="1" t="s">
        <v>47</v>
      </c>
      <c r="C60" s="1" t="s">
        <v>48</v>
      </c>
      <c r="D60" s="1" t="s">
        <v>51</v>
      </c>
      <c r="E60" s="12">
        <v>1335</v>
      </c>
      <c r="F60" s="15"/>
    </row>
    <row r="61" spans="1:6" ht="15">
      <c r="A61" s="1" t="s">
        <v>53</v>
      </c>
      <c r="B61" s="1" t="s">
        <v>43</v>
      </c>
      <c r="C61" s="1" t="s">
        <v>54</v>
      </c>
      <c r="D61" s="1" t="s">
        <v>38</v>
      </c>
      <c r="E61" s="12">
        <v>532.5</v>
      </c>
      <c r="F61" s="15"/>
    </row>
    <row r="62" spans="1:6" ht="15">
      <c r="A62" s="1" t="s">
        <v>55</v>
      </c>
      <c r="B62" s="1" t="s">
        <v>43</v>
      </c>
      <c r="C62" s="1" t="s">
        <v>54</v>
      </c>
      <c r="D62" s="1" t="s">
        <v>38</v>
      </c>
      <c r="E62" s="12">
        <v>643.75</v>
      </c>
      <c r="F62" s="15"/>
    </row>
    <row r="63" spans="1:6" ht="15">
      <c r="A63" s="1" t="s">
        <v>56</v>
      </c>
      <c r="B63" s="1" t="s">
        <v>57</v>
      </c>
      <c r="C63" s="1" t="s">
        <v>58</v>
      </c>
      <c r="D63" s="1" t="s">
        <v>38</v>
      </c>
      <c r="E63" s="12">
        <v>1290</v>
      </c>
      <c r="F63" s="15"/>
    </row>
    <row r="64" spans="1:6" ht="15">
      <c r="A64" s="1" t="s">
        <v>59</v>
      </c>
      <c r="B64" s="1" t="s">
        <v>57</v>
      </c>
      <c r="C64" s="1" t="s">
        <v>58</v>
      </c>
      <c r="D64" s="1" t="s">
        <v>60</v>
      </c>
      <c r="E64" s="12">
        <v>1900</v>
      </c>
      <c r="F64" s="15"/>
    </row>
    <row r="65" spans="1:6" ht="15">
      <c r="A65" s="1" t="s">
        <v>61</v>
      </c>
      <c r="B65" s="1" t="s">
        <v>57</v>
      </c>
      <c r="C65" s="1" t="s">
        <v>58</v>
      </c>
      <c r="D65" s="1" t="s">
        <v>62</v>
      </c>
      <c r="E65" s="12">
        <v>1968</v>
      </c>
      <c r="F65" s="15"/>
    </row>
    <row r="66" spans="1:6" ht="15">
      <c r="A66" s="1" t="s">
        <v>63</v>
      </c>
      <c r="B66" s="1" t="s">
        <v>57</v>
      </c>
      <c r="C66" s="1" t="s">
        <v>58</v>
      </c>
      <c r="D66" s="1" t="s">
        <v>62</v>
      </c>
      <c r="E66" s="12">
        <v>1980</v>
      </c>
      <c r="F66" s="15"/>
    </row>
    <row r="67" spans="1:6" ht="15">
      <c r="A67" s="1" t="s">
        <v>64</v>
      </c>
      <c r="B67" s="1" t="s">
        <v>36</v>
      </c>
      <c r="C67" s="1" t="s">
        <v>58</v>
      </c>
      <c r="D67" s="1" t="s">
        <v>51</v>
      </c>
      <c r="E67" s="12">
        <v>1443.75</v>
      </c>
      <c r="F67" s="15"/>
    </row>
    <row r="68" spans="1:6" ht="15">
      <c r="A68" s="1" t="s">
        <v>65</v>
      </c>
      <c r="B68" s="1" t="s">
        <v>66</v>
      </c>
      <c r="C68" s="1" t="s">
        <v>67</v>
      </c>
      <c r="D68" s="1" t="s">
        <v>62</v>
      </c>
      <c r="E68" s="12">
        <v>567.5</v>
      </c>
      <c r="F68" s="15"/>
    </row>
    <row r="69" spans="1:6" ht="15">
      <c r="A69" s="1" t="s">
        <v>68</v>
      </c>
      <c r="B69" s="1" t="s">
        <v>66</v>
      </c>
      <c r="C69" s="1" t="s">
        <v>67</v>
      </c>
      <c r="D69" s="1" t="s">
        <v>69</v>
      </c>
      <c r="E69" s="12">
        <v>537.5</v>
      </c>
      <c r="F69" s="15"/>
    </row>
    <row r="70" spans="1:6" ht="15">
      <c r="A70" s="1" t="s">
        <v>70</v>
      </c>
      <c r="B70" s="1" t="s">
        <v>36</v>
      </c>
      <c r="C70" s="1" t="s">
        <v>71</v>
      </c>
      <c r="D70" s="1" t="s">
        <v>69</v>
      </c>
      <c r="E70" s="12">
        <v>1470</v>
      </c>
      <c r="F70" s="15"/>
    </row>
    <row r="71" spans="1:6" ht="15">
      <c r="A71" s="1" t="s">
        <v>72</v>
      </c>
      <c r="B71" s="1" t="s">
        <v>73</v>
      </c>
      <c r="C71" s="1" t="s">
        <v>74</v>
      </c>
      <c r="D71" s="1" t="s">
        <v>60</v>
      </c>
      <c r="E71" s="12">
        <v>670</v>
      </c>
      <c r="F71" s="15"/>
    </row>
    <row r="72" spans="1:6" ht="15">
      <c r="A72" s="1" t="s">
        <v>75</v>
      </c>
      <c r="B72" s="1" t="s">
        <v>73</v>
      </c>
      <c r="C72" s="1" t="s">
        <v>74</v>
      </c>
      <c r="D72" s="1" t="s">
        <v>76</v>
      </c>
      <c r="E72" s="12">
        <v>2012</v>
      </c>
      <c r="F72" s="15"/>
    </row>
    <row r="73" spans="1:6" ht="15">
      <c r="A73" s="1" t="s">
        <v>77</v>
      </c>
      <c r="B73" s="1" t="s">
        <v>36</v>
      </c>
      <c r="C73" s="1" t="s">
        <v>74</v>
      </c>
      <c r="D73" s="1" t="s">
        <v>49</v>
      </c>
      <c r="E73" s="12">
        <v>1500.625</v>
      </c>
      <c r="F73" s="15"/>
    </row>
    <row r="74" spans="1:6" ht="15">
      <c r="A74" s="1" t="s">
        <v>78</v>
      </c>
      <c r="B74" s="1" t="s">
        <v>73</v>
      </c>
      <c r="C74" s="1" t="s">
        <v>79</v>
      </c>
      <c r="D74" s="1" t="s">
        <v>80</v>
      </c>
      <c r="E74" s="12">
        <v>1945</v>
      </c>
      <c r="F74" s="15"/>
    </row>
    <row r="75" spans="1:6" ht="15">
      <c r="A75" s="1" t="s">
        <v>81</v>
      </c>
      <c r="B75" s="1" t="s">
        <v>43</v>
      </c>
      <c r="C75" s="1" t="s">
        <v>82</v>
      </c>
      <c r="D75" s="1" t="s">
        <v>60</v>
      </c>
      <c r="E75" s="12">
        <v>638.75</v>
      </c>
      <c r="F75" s="15"/>
    </row>
    <row r="76" spans="1:6" ht="15">
      <c r="A76" s="1" t="s">
        <v>83</v>
      </c>
      <c r="B76" s="1" t="s">
        <v>84</v>
      </c>
      <c r="C76" s="1" t="s">
        <v>85</v>
      </c>
      <c r="D76" s="1" t="s">
        <v>38</v>
      </c>
      <c r="E76" s="12">
        <v>858.75</v>
      </c>
      <c r="F76" s="15"/>
    </row>
    <row r="77" spans="1:6" ht="15">
      <c r="A77" s="1" t="s">
        <v>86</v>
      </c>
      <c r="B77" s="1" t="s">
        <v>84</v>
      </c>
      <c r="C77" s="1" t="s">
        <v>85</v>
      </c>
      <c r="D77" s="1" t="s">
        <v>40</v>
      </c>
      <c r="E77" s="12">
        <v>1713.75</v>
      </c>
      <c r="F77" s="15"/>
    </row>
    <row r="78" spans="1:6" ht="15">
      <c r="A78" s="1" t="s">
        <v>87</v>
      </c>
      <c r="B78" s="1" t="s">
        <v>84</v>
      </c>
      <c r="C78" s="1" t="s">
        <v>85</v>
      </c>
      <c r="D78" s="1" t="s">
        <v>88</v>
      </c>
      <c r="E78" s="12">
        <v>866.25</v>
      </c>
      <c r="F78" s="15"/>
    </row>
    <row r="79" spans="1:6" ht="15">
      <c r="A79" s="1" t="s">
        <v>89</v>
      </c>
      <c r="B79" s="1" t="s">
        <v>84</v>
      </c>
      <c r="C79" s="1" t="s">
        <v>85</v>
      </c>
      <c r="D79" s="1" t="s">
        <v>80</v>
      </c>
      <c r="E79" s="12">
        <v>1121.25</v>
      </c>
      <c r="F79" s="15"/>
    </row>
    <row r="80" spans="1:6" ht="15">
      <c r="A80" s="1" t="s">
        <v>90</v>
      </c>
      <c r="B80" s="1" t="s">
        <v>73</v>
      </c>
      <c r="C80" s="1" t="s">
        <v>91</v>
      </c>
      <c r="D80" s="1" t="s">
        <v>76</v>
      </c>
      <c r="E80" s="12">
        <v>2260</v>
      </c>
      <c r="F80" s="15"/>
    </row>
    <row r="81" spans="1:6" ht="15">
      <c r="A81" s="1" t="s">
        <v>92</v>
      </c>
      <c r="B81" s="1" t="s">
        <v>57</v>
      </c>
      <c r="C81" s="1" t="s">
        <v>91</v>
      </c>
      <c r="D81" s="1" t="s">
        <v>88</v>
      </c>
      <c r="E81" s="12">
        <v>772</v>
      </c>
      <c r="F81" s="15"/>
    </row>
    <row r="82" spans="1:6" ht="15">
      <c r="A82" s="1" t="s">
        <v>93</v>
      </c>
      <c r="B82" s="1" t="s">
        <v>43</v>
      </c>
      <c r="C82" s="1" t="s">
        <v>91</v>
      </c>
      <c r="D82" s="1" t="s">
        <v>51</v>
      </c>
      <c r="E82" s="12">
        <v>637.5</v>
      </c>
      <c r="F82" s="15"/>
    </row>
    <row r="83" spans="1:6" ht="15">
      <c r="A83" s="1" t="s">
        <v>94</v>
      </c>
      <c r="B83" s="1" t="s">
        <v>73</v>
      </c>
      <c r="C83" s="1" t="s">
        <v>95</v>
      </c>
      <c r="D83" s="1" t="s">
        <v>38</v>
      </c>
      <c r="E83" s="12">
        <v>2030</v>
      </c>
      <c r="F83" s="15"/>
    </row>
    <row r="84" spans="1:6" ht="15">
      <c r="A84" s="1" t="s">
        <v>96</v>
      </c>
      <c r="B84" s="1" t="s">
        <v>73</v>
      </c>
      <c r="C84" s="1" t="s">
        <v>95</v>
      </c>
      <c r="D84" s="1" t="s">
        <v>80</v>
      </c>
      <c r="E84" s="12">
        <v>1844</v>
      </c>
      <c r="F84" s="15"/>
    </row>
    <row r="85" spans="1:6" ht="15">
      <c r="A85" s="1" t="s">
        <v>97</v>
      </c>
      <c r="B85" s="1" t="s">
        <v>73</v>
      </c>
      <c r="C85" s="1" t="s">
        <v>95</v>
      </c>
      <c r="D85" s="1" t="s">
        <v>80</v>
      </c>
      <c r="E85" s="12">
        <v>1648</v>
      </c>
      <c r="F85" s="15"/>
    </row>
    <row r="86" spans="1:6" ht="15">
      <c r="A86" s="1" t="s">
        <v>98</v>
      </c>
      <c r="B86" s="1" t="s">
        <v>36</v>
      </c>
      <c r="C86" s="1" t="s">
        <v>99</v>
      </c>
      <c r="D86" s="1" t="s">
        <v>80</v>
      </c>
      <c r="E86" s="12">
        <v>1789.375</v>
      </c>
      <c r="F86" s="15"/>
    </row>
    <row r="87" spans="1:6">
      <c r="F87" s="15"/>
    </row>
    <row r="88" spans="1:6" ht="15">
      <c r="E88" s="12"/>
      <c r="F88" s="15"/>
    </row>
    <row r="89" spans="1:6">
      <c r="F89" s="15"/>
    </row>
    <row r="90" spans="1:6">
      <c r="F90" s="15"/>
    </row>
    <row r="91" spans="1:6">
      <c r="F91" s="15"/>
    </row>
    <row r="92" spans="1:6">
      <c r="F92" s="15"/>
    </row>
    <row r="93" spans="1:6">
      <c r="F93" s="15"/>
    </row>
    <row r="94" spans="1:6">
      <c r="F94" s="15"/>
    </row>
    <row r="95" spans="1:6">
      <c r="F95" s="15"/>
    </row>
    <row r="96" spans="1:6">
      <c r="F96" s="15"/>
    </row>
    <row r="97" spans="6:6">
      <c r="F97" s="15"/>
    </row>
    <row r="98" spans="6:6">
      <c r="F98" s="15"/>
    </row>
    <row r="99" spans="6:6">
      <c r="F99" s="15"/>
    </row>
    <row r="100" spans="6:6">
      <c r="F100" s="15"/>
    </row>
    <row r="101" spans="6:6">
      <c r="F101" s="15"/>
    </row>
    <row r="102" spans="6:6">
      <c r="F102" s="15"/>
    </row>
    <row r="103" spans="6:6">
      <c r="F103" s="15"/>
    </row>
    <row r="104" spans="6:6">
      <c r="F104" s="15"/>
    </row>
    <row r="105" spans="6:6">
      <c r="F105" s="15"/>
    </row>
    <row r="106" spans="6:6">
      <c r="F106" s="15"/>
    </row>
    <row r="107" spans="6:6">
      <c r="F107" s="15"/>
    </row>
    <row r="108" spans="6:6">
      <c r="F108" s="15"/>
    </row>
    <row r="109" spans="6:6">
      <c r="F109" s="15"/>
    </row>
    <row r="110" spans="6:6">
      <c r="F110" s="15"/>
    </row>
    <row r="111" spans="6:6">
      <c r="F111" s="15"/>
    </row>
    <row r="112" spans="6:6">
      <c r="F112" s="15"/>
    </row>
    <row r="113" spans="6:6">
      <c r="F113" s="15"/>
    </row>
    <row r="114" spans="6:6">
      <c r="F114" s="15"/>
    </row>
    <row r="115" spans="6:6">
      <c r="F115" s="15"/>
    </row>
    <row r="116" spans="6:6">
      <c r="F116" s="15"/>
    </row>
    <row r="117" spans="6:6">
      <c r="F117" s="15"/>
    </row>
    <row r="118" spans="6:6">
      <c r="F118" s="15"/>
    </row>
    <row r="119" spans="6:6">
      <c r="F119" s="15"/>
    </row>
    <row r="120" spans="6:6">
      <c r="F120" s="15"/>
    </row>
    <row r="121" spans="6:6">
      <c r="F121" s="15"/>
    </row>
    <row r="122" spans="6:6">
      <c r="F122" s="15"/>
    </row>
    <row r="123" spans="6:6">
      <c r="F123" s="15"/>
    </row>
    <row r="124" spans="6:6">
      <c r="F124" s="15"/>
    </row>
    <row r="125" spans="6:6">
      <c r="F125" s="15"/>
    </row>
    <row r="126" spans="6:6">
      <c r="F126" s="15"/>
    </row>
    <row r="127" spans="6:6">
      <c r="F127" s="15"/>
    </row>
    <row r="128" spans="6:6">
      <c r="F128" s="15"/>
    </row>
    <row r="129" spans="6:6">
      <c r="F129" s="15"/>
    </row>
    <row r="130" spans="6:6">
      <c r="F130" s="15"/>
    </row>
    <row r="131" spans="6:6">
      <c r="F131" s="15"/>
    </row>
    <row r="132" spans="6:6">
      <c r="F132" s="15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6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24" sqref="H24"/>
    </sheetView>
  </sheetViews>
  <sheetFormatPr defaultRowHeight="14.25"/>
  <cols>
    <col min="1" max="1" width="10.375" bestFit="1" customWidth="1"/>
    <col min="3" max="3" width="14.25" bestFit="1" customWidth="1"/>
    <col min="4" max="6" width="13.125" bestFit="1" customWidth="1"/>
  </cols>
  <sheetData>
    <row r="1" spans="1:52" ht="82.5" customHeight="1">
      <c r="C1" s="2" t="s">
        <v>131</v>
      </c>
    </row>
    <row r="2" spans="1:52" s="17" customFormat="1" ht="15.75">
      <c r="A2" s="16" t="s">
        <v>58</v>
      </c>
      <c r="B2" s="16" t="s">
        <v>132</v>
      </c>
      <c r="C2" s="16">
        <v>1</v>
      </c>
      <c r="D2" s="16">
        <v>2</v>
      </c>
      <c r="E2" s="16">
        <v>3</v>
      </c>
      <c r="F2" s="16">
        <v>4</v>
      </c>
      <c r="G2" s="16">
        <v>5</v>
      </c>
      <c r="H2" s="16">
        <v>6</v>
      </c>
      <c r="I2" s="16">
        <v>7</v>
      </c>
      <c r="J2" s="16">
        <v>8</v>
      </c>
      <c r="K2" s="16">
        <v>9</v>
      </c>
      <c r="L2" s="16">
        <v>10</v>
      </c>
      <c r="M2" s="16">
        <v>11</v>
      </c>
      <c r="N2" s="16">
        <v>12</v>
      </c>
      <c r="O2" s="16">
        <v>13</v>
      </c>
      <c r="P2" s="16">
        <v>14</v>
      </c>
      <c r="Q2" s="16">
        <v>15</v>
      </c>
      <c r="R2" s="16">
        <v>16</v>
      </c>
      <c r="S2" s="16">
        <v>17</v>
      </c>
      <c r="T2" s="16">
        <v>18</v>
      </c>
      <c r="U2" s="16">
        <v>19</v>
      </c>
      <c r="V2" s="16">
        <v>20</v>
      </c>
      <c r="W2" s="16">
        <v>21</v>
      </c>
      <c r="X2" s="16">
        <v>22</v>
      </c>
      <c r="Y2" s="16">
        <v>23</v>
      </c>
      <c r="Z2" s="16">
        <v>24</v>
      </c>
      <c r="AA2" s="16">
        <v>25</v>
      </c>
      <c r="AB2" s="16">
        <v>26</v>
      </c>
      <c r="AC2" s="16">
        <v>27</v>
      </c>
      <c r="AD2" s="16">
        <v>28</v>
      </c>
      <c r="AE2" s="16">
        <v>29</v>
      </c>
      <c r="AF2" s="16">
        <v>30</v>
      </c>
      <c r="AG2" s="16">
        <v>31</v>
      </c>
      <c r="AH2" s="16">
        <v>32</v>
      </c>
      <c r="AI2" s="16">
        <v>33</v>
      </c>
      <c r="AJ2" s="16">
        <v>34</v>
      </c>
      <c r="AK2" s="16">
        <v>35</v>
      </c>
      <c r="AL2" s="16">
        <v>36</v>
      </c>
      <c r="AM2" s="16">
        <v>37</v>
      </c>
      <c r="AN2" s="16">
        <v>38</v>
      </c>
      <c r="AO2" s="16">
        <v>39</v>
      </c>
      <c r="AP2" s="16">
        <v>40</v>
      </c>
      <c r="AQ2" s="16">
        <v>41</v>
      </c>
      <c r="AR2" s="16">
        <v>42</v>
      </c>
      <c r="AS2" s="16">
        <v>43</v>
      </c>
      <c r="AT2" s="16">
        <v>44</v>
      </c>
      <c r="AU2" s="16">
        <v>45</v>
      </c>
      <c r="AV2" s="16">
        <v>46</v>
      </c>
      <c r="AW2" s="16">
        <v>47</v>
      </c>
      <c r="AX2" s="16">
        <v>48</v>
      </c>
      <c r="AY2" s="16">
        <v>49</v>
      </c>
      <c r="AZ2" s="16">
        <v>50</v>
      </c>
    </row>
    <row r="3" spans="1:52" ht="15">
      <c r="A3" s="18" t="s">
        <v>21</v>
      </c>
      <c r="B3" s="18" t="s">
        <v>133</v>
      </c>
      <c r="C3" s="13">
        <v>265</v>
      </c>
      <c r="D3" s="13">
        <v>397</v>
      </c>
      <c r="E3" s="13">
        <v>240</v>
      </c>
      <c r="F3" s="13">
        <v>437</v>
      </c>
      <c r="G3" s="13">
        <v>265</v>
      </c>
      <c r="H3" s="13">
        <v>397</v>
      </c>
      <c r="I3" s="13">
        <v>240</v>
      </c>
      <c r="J3" s="13">
        <v>437</v>
      </c>
      <c r="K3" s="13">
        <v>373.21428571428601</v>
      </c>
      <c r="L3" s="13">
        <v>381.76190476190499</v>
      </c>
      <c r="M3" s="13">
        <v>390.30952380952402</v>
      </c>
      <c r="N3" s="13">
        <v>398.857142857143</v>
      </c>
      <c r="O3" s="13">
        <v>407.40476190476198</v>
      </c>
      <c r="P3" s="13">
        <v>415.95238095238102</v>
      </c>
      <c r="Q3" s="13">
        <v>424.5</v>
      </c>
      <c r="R3" s="13">
        <v>433.04761904761898</v>
      </c>
      <c r="S3" s="13">
        <v>441.59523809523802</v>
      </c>
      <c r="T3" s="13">
        <v>450.142857142857</v>
      </c>
      <c r="U3" s="13">
        <v>458.69047619047598</v>
      </c>
      <c r="V3" s="13">
        <v>467.23809523809501</v>
      </c>
      <c r="W3" s="13">
        <v>475.78571428571399</v>
      </c>
      <c r="X3" s="13">
        <v>484.33333333333297</v>
      </c>
      <c r="Y3" s="13">
        <v>492.88095238095201</v>
      </c>
      <c r="Z3" s="13">
        <v>501.42857142857099</v>
      </c>
      <c r="AA3" s="13">
        <v>509.97619047619003</v>
      </c>
      <c r="AB3" s="13">
        <v>518.52380952380895</v>
      </c>
      <c r="AC3" s="13">
        <v>527.07142857142799</v>
      </c>
      <c r="AD3" s="13">
        <v>535.61904761904702</v>
      </c>
      <c r="AE3" s="13">
        <v>544.16666666666595</v>
      </c>
      <c r="AF3" s="13">
        <v>552.71428571428498</v>
      </c>
      <c r="AG3" s="13">
        <v>561.26190476190402</v>
      </c>
      <c r="AH3" s="13">
        <v>569.80952380952294</v>
      </c>
      <c r="AI3" s="13">
        <v>578.35714285714198</v>
      </c>
      <c r="AJ3" s="13">
        <v>586.90476190476102</v>
      </c>
      <c r="AK3" s="13">
        <v>595.45238095238096</v>
      </c>
      <c r="AL3" s="13">
        <v>604</v>
      </c>
      <c r="AM3" s="13">
        <v>612.54761904761904</v>
      </c>
      <c r="AN3" s="13">
        <v>621.09523809523796</v>
      </c>
      <c r="AO3" s="13">
        <v>629.642857142857</v>
      </c>
      <c r="AP3" s="13">
        <v>638.19047619047603</v>
      </c>
      <c r="AQ3" s="13">
        <v>646.73809523809496</v>
      </c>
      <c r="AR3" s="13">
        <v>655.28571428571399</v>
      </c>
      <c r="AS3" s="13">
        <v>663.83333333333303</v>
      </c>
      <c r="AT3" s="13">
        <v>672.38095238095195</v>
      </c>
      <c r="AU3" s="13">
        <v>680.92857142857099</v>
      </c>
      <c r="AV3" s="13">
        <v>689.47619047619003</v>
      </c>
      <c r="AW3" s="13">
        <v>698.02380952380895</v>
      </c>
      <c r="AX3" s="13">
        <v>706.57142857142799</v>
      </c>
      <c r="AY3" s="13">
        <v>715.11904761904702</v>
      </c>
      <c r="AZ3" s="13">
        <v>723.66666666666595</v>
      </c>
    </row>
    <row r="4" spans="1:52" ht="15">
      <c r="A4" s="18" t="s">
        <v>15</v>
      </c>
      <c r="B4" s="18" t="s">
        <v>133</v>
      </c>
      <c r="C4" s="13">
        <v>405</v>
      </c>
      <c r="D4" s="13">
        <v>382</v>
      </c>
      <c r="E4" s="13">
        <v>360</v>
      </c>
      <c r="F4" s="13">
        <v>428</v>
      </c>
      <c r="G4" s="13">
        <v>405</v>
      </c>
      <c r="H4" s="13">
        <v>382</v>
      </c>
      <c r="I4" s="13">
        <v>360</v>
      </c>
      <c r="J4" s="13">
        <v>428</v>
      </c>
      <c r="K4" s="13">
        <v>398.78571428571399</v>
      </c>
      <c r="L4" s="13">
        <v>399.90476190476198</v>
      </c>
      <c r="M4" s="13">
        <v>401.02380952380997</v>
      </c>
      <c r="N4" s="13">
        <v>402.142857142857</v>
      </c>
      <c r="O4" s="13">
        <v>403.26190476190499</v>
      </c>
      <c r="P4" s="13">
        <v>404.38095238095201</v>
      </c>
      <c r="Q4" s="13">
        <v>405.5</v>
      </c>
      <c r="R4" s="13">
        <v>406.61904761904799</v>
      </c>
      <c r="S4" s="13">
        <v>407.73809523809501</v>
      </c>
      <c r="T4" s="13">
        <v>408.857142857143</v>
      </c>
      <c r="U4" s="13">
        <v>409.97619047619003</v>
      </c>
      <c r="V4" s="13">
        <v>411.09523809523802</v>
      </c>
      <c r="W4" s="13">
        <v>412.21428571428601</v>
      </c>
      <c r="X4" s="13">
        <v>413.33333333333297</v>
      </c>
      <c r="Y4" s="13">
        <v>414.45238095238102</v>
      </c>
      <c r="Z4" s="13">
        <v>415.57142857142799</v>
      </c>
      <c r="AA4" s="13">
        <v>416.69047619047598</v>
      </c>
      <c r="AB4" s="13">
        <v>417.80952380952402</v>
      </c>
      <c r="AC4" s="13">
        <v>418.92857142857099</v>
      </c>
      <c r="AD4" s="13">
        <v>420.04761904761898</v>
      </c>
      <c r="AE4" s="13">
        <v>421.16666666666703</v>
      </c>
      <c r="AF4" s="13">
        <v>422.28571428571399</v>
      </c>
      <c r="AG4" s="13">
        <v>423.40476190476198</v>
      </c>
      <c r="AH4" s="13">
        <v>424.52380952380997</v>
      </c>
      <c r="AI4" s="13">
        <v>425.642857142857</v>
      </c>
      <c r="AJ4" s="13">
        <v>426.76190476190499</v>
      </c>
      <c r="AK4" s="13">
        <v>427.88095238095201</v>
      </c>
      <c r="AL4" s="13">
        <v>429</v>
      </c>
      <c r="AM4" s="13">
        <v>430.11904761904799</v>
      </c>
      <c r="AN4" s="13">
        <v>431.23809523809501</v>
      </c>
      <c r="AO4" s="13">
        <v>432.357142857143</v>
      </c>
      <c r="AP4" s="13">
        <v>433.47619047619003</v>
      </c>
      <c r="AQ4" s="13">
        <v>434.59523809523802</v>
      </c>
      <c r="AR4" s="13">
        <v>435.71428571428601</v>
      </c>
      <c r="AS4" s="13">
        <v>436.83333333333297</v>
      </c>
      <c r="AT4" s="13">
        <v>437.95238095238102</v>
      </c>
      <c r="AU4" s="13">
        <v>439.07142857142799</v>
      </c>
      <c r="AV4" s="13">
        <v>440.19047619047598</v>
      </c>
      <c r="AW4" s="13">
        <v>441.30952380952402</v>
      </c>
      <c r="AX4" s="13">
        <v>442.42857142857099</v>
      </c>
      <c r="AY4" s="13">
        <v>443.54761904761898</v>
      </c>
      <c r="AZ4" s="13">
        <v>444.66666666666703</v>
      </c>
    </row>
    <row r="5" spans="1:52" ht="15">
      <c r="A5" s="18" t="s">
        <v>23</v>
      </c>
      <c r="B5" s="18" t="s">
        <v>134</v>
      </c>
      <c r="C5" s="13">
        <v>388</v>
      </c>
      <c r="D5" s="13">
        <v>318</v>
      </c>
      <c r="E5" s="13">
        <v>277</v>
      </c>
      <c r="F5" s="13">
        <v>382</v>
      </c>
      <c r="G5" s="13">
        <v>388</v>
      </c>
      <c r="H5" s="13">
        <v>318</v>
      </c>
      <c r="I5" s="13">
        <v>277</v>
      </c>
      <c r="J5" s="13">
        <v>382</v>
      </c>
      <c r="K5" s="13">
        <v>334.92857142857099</v>
      </c>
      <c r="L5" s="13">
        <v>333.52380952380997</v>
      </c>
      <c r="M5" s="13">
        <v>332.11904761904799</v>
      </c>
      <c r="N5" s="13">
        <v>330.71428571428601</v>
      </c>
      <c r="O5" s="13">
        <v>329.30952380952402</v>
      </c>
      <c r="P5" s="13">
        <v>327.90476190476198</v>
      </c>
      <c r="Q5" s="13">
        <v>326.5</v>
      </c>
      <c r="R5" s="13">
        <v>325.09523809523802</v>
      </c>
      <c r="S5" s="13">
        <v>323.69047619047598</v>
      </c>
      <c r="T5" s="13">
        <v>322.28571428571399</v>
      </c>
      <c r="U5" s="13">
        <v>320.88095238095201</v>
      </c>
      <c r="V5" s="13">
        <v>319.47619047619003</v>
      </c>
      <c r="W5" s="13">
        <v>318.07142857142901</v>
      </c>
      <c r="X5" s="13">
        <v>316.66666666666703</v>
      </c>
      <c r="Y5" s="13">
        <v>315.26190476190499</v>
      </c>
      <c r="Z5" s="13">
        <v>313.857142857143</v>
      </c>
      <c r="AA5" s="13">
        <v>312.45238095238102</v>
      </c>
      <c r="AB5" s="13">
        <v>311.04761904761898</v>
      </c>
      <c r="AC5" s="13">
        <v>309.642857142857</v>
      </c>
      <c r="AD5" s="13">
        <v>308.23809523809501</v>
      </c>
      <c r="AE5" s="13">
        <v>306.83333333333297</v>
      </c>
      <c r="AF5" s="13">
        <v>305.42857142857099</v>
      </c>
      <c r="AG5" s="13">
        <v>304.02380952380901</v>
      </c>
      <c r="AH5" s="13">
        <v>302.61904761904799</v>
      </c>
      <c r="AI5" s="13">
        <v>301.21428571428601</v>
      </c>
      <c r="AJ5" s="13">
        <v>299.80952380952402</v>
      </c>
      <c r="AK5" s="13">
        <v>298.40476190476198</v>
      </c>
      <c r="AL5" s="13">
        <v>297</v>
      </c>
      <c r="AM5" s="13">
        <v>295.59523809523802</v>
      </c>
      <c r="AN5" s="13">
        <v>294.19047619047598</v>
      </c>
      <c r="AO5" s="13">
        <v>292.78571428571399</v>
      </c>
      <c r="AP5" s="13">
        <v>291.38095238095201</v>
      </c>
      <c r="AQ5" s="13">
        <v>289.97619047619003</v>
      </c>
      <c r="AR5" s="13">
        <v>288.57142857142901</v>
      </c>
      <c r="AS5" s="13">
        <v>287.16666666666703</v>
      </c>
      <c r="AT5" s="13">
        <v>285.76190476190499</v>
      </c>
      <c r="AU5" s="13">
        <v>284.357142857143</v>
      </c>
      <c r="AV5" s="13">
        <v>282.95238095238102</v>
      </c>
      <c r="AW5" s="13">
        <v>281.54761904761898</v>
      </c>
      <c r="AX5" s="13">
        <v>280.142857142857</v>
      </c>
      <c r="AY5" s="13">
        <v>278.73809523809501</v>
      </c>
      <c r="AZ5" s="13">
        <v>277.33333333333297</v>
      </c>
    </row>
    <row r="6" spans="1:52" ht="15">
      <c r="A6" s="18" t="s">
        <v>135</v>
      </c>
      <c r="B6" s="18" t="s">
        <v>133</v>
      </c>
      <c r="C6" s="13">
        <v>393</v>
      </c>
      <c r="D6" s="13">
        <v>331</v>
      </c>
      <c r="E6" s="13">
        <v>412</v>
      </c>
      <c r="F6" s="13">
        <v>229</v>
      </c>
      <c r="G6" s="13">
        <v>393</v>
      </c>
      <c r="H6" s="13">
        <v>331</v>
      </c>
      <c r="I6" s="13">
        <v>412</v>
      </c>
      <c r="J6" s="13">
        <v>229</v>
      </c>
      <c r="K6" s="13">
        <v>297.21428571428601</v>
      </c>
      <c r="L6" s="13">
        <v>287.42857142857099</v>
      </c>
      <c r="M6" s="13">
        <v>277.642857142857</v>
      </c>
      <c r="N6" s="13">
        <v>267.857142857143</v>
      </c>
      <c r="O6" s="13">
        <v>258.07142857142901</v>
      </c>
      <c r="P6" s="13">
        <v>248.28571428571399</v>
      </c>
      <c r="Q6" s="13">
        <v>238.5</v>
      </c>
      <c r="R6" s="13">
        <v>228.71428571428601</v>
      </c>
      <c r="S6" s="13">
        <v>218.92857142857099</v>
      </c>
      <c r="T6" s="13">
        <v>209.142857142857</v>
      </c>
      <c r="U6" s="13">
        <v>199.357142857143</v>
      </c>
      <c r="V6" s="13">
        <v>189.57142857142901</v>
      </c>
      <c r="W6" s="13">
        <v>179.78571428571399</v>
      </c>
      <c r="X6" s="13">
        <v>170</v>
      </c>
      <c r="Y6" s="13">
        <v>160.21428571428601</v>
      </c>
      <c r="Z6" s="13">
        <v>150.42857142857099</v>
      </c>
      <c r="AA6" s="13">
        <v>140.642857142857</v>
      </c>
      <c r="AB6" s="13">
        <v>130.857142857143</v>
      </c>
      <c r="AC6" s="13">
        <v>121.071428571429</v>
      </c>
      <c r="AD6" s="13">
        <v>111.28571428571399</v>
      </c>
      <c r="AE6" s="13">
        <v>101.5</v>
      </c>
      <c r="AF6" s="13">
        <v>91.714285714286007</v>
      </c>
      <c r="AG6" s="13">
        <v>81.928571428571004</v>
      </c>
      <c r="AH6" s="13">
        <v>72.142857142856997</v>
      </c>
      <c r="AI6" s="13">
        <v>62.357142857143003</v>
      </c>
      <c r="AJ6" s="13">
        <v>52.571428571429003</v>
      </c>
      <c r="AK6" s="13">
        <v>42.785714285714</v>
      </c>
      <c r="AL6" s="13">
        <v>33</v>
      </c>
      <c r="AM6" s="13">
        <v>23.214285714286</v>
      </c>
      <c r="AN6" s="13">
        <v>13.428571428571001</v>
      </c>
      <c r="AO6" s="13">
        <v>3.6428571428569998</v>
      </c>
      <c r="AP6" s="13">
        <v>-6.1428571428570002</v>
      </c>
      <c r="AQ6" s="13">
        <v>-15.928571428571001</v>
      </c>
      <c r="AR6" s="13">
        <v>-25.714285714286</v>
      </c>
      <c r="AS6" s="13">
        <v>-35.5</v>
      </c>
      <c r="AT6" s="13">
        <v>-45.285714285714</v>
      </c>
      <c r="AU6" s="13">
        <v>-55.071428571429003</v>
      </c>
      <c r="AV6" s="13">
        <v>-64.857142857143003</v>
      </c>
      <c r="AW6" s="13">
        <v>-74.642857142856997</v>
      </c>
      <c r="AX6" s="13">
        <v>-84.428571428571004</v>
      </c>
      <c r="AY6" s="13">
        <v>-94.214285714286007</v>
      </c>
      <c r="AZ6" s="13">
        <v>-104</v>
      </c>
    </row>
    <row r="7" spans="1:52" ht="15">
      <c r="A7" s="18" t="s">
        <v>136</v>
      </c>
      <c r="B7" s="18" t="s">
        <v>137</v>
      </c>
      <c r="C7" s="13">
        <v>218</v>
      </c>
      <c r="D7" s="13">
        <v>232</v>
      </c>
      <c r="E7" s="13">
        <v>229</v>
      </c>
      <c r="F7" s="13">
        <v>292</v>
      </c>
      <c r="G7" s="13">
        <v>218</v>
      </c>
      <c r="H7" s="13">
        <v>232</v>
      </c>
      <c r="I7" s="13">
        <v>229</v>
      </c>
      <c r="J7" s="13">
        <v>292</v>
      </c>
      <c r="K7" s="13">
        <v>266.21428571428601</v>
      </c>
      <c r="L7" s="13">
        <v>271.42857142857099</v>
      </c>
      <c r="M7" s="13">
        <v>276.642857142857</v>
      </c>
      <c r="N7" s="13">
        <v>281.857142857143</v>
      </c>
      <c r="O7" s="13">
        <v>287.07142857142901</v>
      </c>
      <c r="P7" s="13">
        <v>292.28571428571399</v>
      </c>
      <c r="Q7" s="13">
        <v>297.5</v>
      </c>
      <c r="R7" s="13">
        <v>302.71428571428601</v>
      </c>
      <c r="S7" s="13">
        <v>307.92857142857099</v>
      </c>
      <c r="T7" s="13">
        <v>313.142857142857</v>
      </c>
      <c r="U7" s="13">
        <v>318.357142857143</v>
      </c>
      <c r="V7" s="13">
        <v>323.57142857142901</v>
      </c>
      <c r="W7" s="13">
        <v>328.78571428571399</v>
      </c>
      <c r="X7" s="13">
        <v>334</v>
      </c>
      <c r="Y7" s="13">
        <v>339.21428571428601</v>
      </c>
      <c r="Z7" s="13">
        <v>344.42857142857099</v>
      </c>
      <c r="AA7" s="13">
        <v>349.642857142857</v>
      </c>
      <c r="AB7" s="13">
        <v>354.857142857143</v>
      </c>
      <c r="AC7" s="13">
        <v>360.07142857142901</v>
      </c>
      <c r="AD7" s="13">
        <v>365.28571428571399</v>
      </c>
      <c r="AE7" s="13">
        <v>370.5</v>
      </c>
      <c r="AF7" s="13">
        <v>375.71428571428601</v>
      </c>
      <c r="AG7" s="13">
        <v>380.92857142857099</v>
      </c>
      <c r="AH7" s="13">
        <v>386.142857142857</v>
      </c>
      <c r="AI7" s="13">
        <v>391.357142857143</v>
      </c>
      <c r="AJ7" s="13">
        <v>396.57142857142901</v>
      </c>
      <c r="AK7" s="13">
        <v>401.78571428571399</v>
      </c>
      <c r="AL7" s="13">
        <v>407</v>
      </c>
      <c r="AM7" s="13">
        <v>412.21428571428601</v>
      </c>
      <c r="AN7" s="13">
        <v>417.42857142857099</v>
      </c>
      <c r="AO7" s="13">
        <v>422.642857142857</v>
      </c>
      <c r="AP7" s="13">
        <v>427.857142857143</v>
      </c>
      <c r="AQ7" s="13">
        <v>433.07142857142901</v>
      </c>
      <c r="AR7" s="13">
        <v>438.28571428571399</v>
      </c>
      <c r="AS7" s="13">
        <v>443.5</v>
      </c>
      <c r="AT7" s="13">
        <v>448.71428571428601</v>
      </c>
      <c r="AU7" s="13">
        <v>453.92857142857099</v>
      </c>
      <c r="AV7" s="13">
        <v>459.142857142857</v>
      </c>
      <c r="AW7" s="13">
        <v>464.357142857143</v>
      </c>
      <c r="AX7" s="13">
        <v>469.57142857142901</v>
      </c>
      <c r="AY7" s="13">
        <v>474.78571428571399</v>
      </c>
      <c r="AZ7" s="13">
        <v>480</v>
      </c>
    </row>
    <row r="8" spans="1:52" ht="15">
      <c r="A8" s="18" t="s">
        <v>138</v>
      </c>
      <c r="B8" s="18" t="s">
        <v>134</v>
      </c>
      <c r="C8" s="13">
        <v>379</v>
      </c>
      <c r="D8" s="13">
        <v>289</v>
      </c>
      <c r="E8" s="13">
        <v>346</v>
      </c>
      <c r="F8" s="13">
        <v>286</v>
      </c>
      <c r="G8" s="13">
        <v>379</v>
      </c>
      <c r="H8" s="13">
        <v>289</v>
      </c>
      <c r="I8" s="13">
        <v>346</v>
      </c>
      <c r="J8" s="13">
        <v>286</v>
      </c>
      <c r="K8" s="13">
        <v>301.21428571428601</v>
      </c>
      <c r="L8" s="13">
        <v>295.92857142857099</v>
      </c>
      <c r="M8" s="13">
        <v>290.642857142857</v>
      </c>
      <c r="N8" s="13">
        <v>285.357142857143</v>
      </c>
      <c r="O8" s="13">
        <v>280.07142857142901</v>
      </c>
      <c r="P8" s="13">
        <v>274.78571428571399</v>
      </c>
      <c r="Q8" s="13">
        <v>269.5</v>
      </c>
      <c r="R8" s="13">
        <v>264.21428571428601</v>
      </c>
      <c r="S8" s="13">
        <v>258.92857142857099</v>
      </c>
      <c r="T8" s="13">
        <v>253.642857142857</v>
      </c>
      <c r="U8" s="13">
        <v>248.357142857143</v>
      </c>
      <c r="V8" s="13">
        <v>243.07142857142901</v>
      </c>
      <c r="W8" s="13">
        <v>237.78571428571399</v>
      </c>
      <c r="X8" s="13">
        <v>232.5</v>
      </c>
      <c r="Y8" s="13">
        <v>227.21428571428601</v>
      </c>
      <c r="Z8" s="13">
        <v>221.92857142857099</v>
      </c>
      <c r="AA8" s="13">
        <v>216.642857142857</v>
      </c>
      <c r="AB8" s="13">
        <v>211.357142857143</v>
      </c>
      <c r="AC8" s="13">
        <v>206.07142857142901</v>
      </c>
      <c r="AD8" s="13">
        <v>200.78571428571399</v>
      </c>
      <c r="AE8" s="13">
        <v>195.5</v>
      </c>
      <c r="AF8" s="13">
        <v>190.21428571428601</v>
      </c>
      <c r="AG8" s="13">
        <v>184.92857142857099</v>
      </c>
      <c r="AH8" s="13">
        <v>179.642857142857</v>
      </c>
      <c r="AI8" s="13">
        <v>174.357142857143</v>
      </c>
      <c r="AJ8" s="13">
        <v>169.07142857142901</v>
      </c>
      <c r="AK8" s="13">
        <v>163.78571428571399</v>
      </c>
      <c r="AL8" s="13">
        <v>158.5</v>
      </c>
      <c r="AM8" s="13">
        <v>153.21428571428601</v>
      </c>
      <c r="AN8" s="13">
        <v>147.92857142857099</v>
      </c>
      <c r="AO8" s="13">
        <v>142.642857142857</v>
      </c>
      <c r="AP8" s="13">
        <v>137.357142857143</v>
      </c>
      <c r="AQ8" s="13">
        <v>132.07142857142799</v>
      </c>
      <c r="AR8" s="13">
        <v>126.78571428571399</v>
      </c>
      <c r="AS8" s="13">
        <v>121.5</v>
      </c>
      <c r="AT8" s="13">
        <v>116.21428571428601</v>
      </c>
      <c r="AU8" s="13">
        <v>110.928571428571</v>
      </c>
      <c r="AV8" s="13">
        <v>105.642857142857</v>
      </c>
      <c r="AW8" s="13">
        <v>100.357142857143</v>
      </c>
      <c r="AX8" s="13">
        <v>95.071428571428001</v>
      </c>
      <c r="AY8" s="13">
        <v>89.785714285713993</v>
      </c>
      <c r="AZ8" s="13">
        <v>84.5</v>
      </c>
    </row>
    <row r="9" spans="1:52" ht="15">
      <c r="A9" s="18" t="s">
        <v>139</v>
      </c>
      <c r="B9" s="18" t="s">
        <v>133</v>
      </c>
      <c r="C9" s="13">
        <v>432</v>
      </c>
      <c r="D9" s="13">
        <v>296</v>
      </c>
      <c r="E9" s="13">
        <v>367</v>
      </c>
      <c r="F9" s="13">
        <v>431</v>
      </c>
      <c r="G9" s="13">
        <v>432</v>
      </c>
      <c r="H9" s="13">
        <v>296</v>
      </c>
      <c r="I9" s="13">
        <v>367</v>
      </c>
      <c r="J9" s="13">
        <v>431</v>
      </c>
      <c r="K9" s="13">
        <v>388.78571428571399</v>
      </c>
      <c r="L9" s="13">
        <v>390.40476190476198</v>
      </c>
      <c r="M9" s="13">
        <v>392.02380952380997</v>
      </c>
      <c r="N9" s="13">
        <v>393.642857142857</v>
      </c>
      <c r="O9" s="13">
        <v>395.26190476190499</v>
      </c>
      <c r="P9" s="13">
        <v>396.88095238095201</v>
      </c>
      <c r="Q9" s="13">
        <v>398.5</v>
      </c>
      <c r="R9" s="13">
        <v>400.11904761904799</v>
      </c>
      <c r="S9" s="13">
        <v>401.73809523809501</v>
      </c>
      <c r="T9" s="13">
        <v>403.357142857143</v>
      </c>
      <c r="U9" s="13">
        <v>404.97619047619003</v>
      </c>
      <c r="V9" s="13">
        <v>406.59523809523802</v>
      </c>
      <c r="W9" s="13">
        <v>408.21428571428601</v>
      </c>
      <c r="X9" s="13">
        <v>409.83333333333297</v>
      </c>
      <c r="Y9" s="13">
        <v>411.45238095238102</v>
      </c>
      <c r="Z9" s="13">
        <v>413.07142857142799</v>
      </c>
      <c r="AA9" s="13">
        <v>414.69047619047598</v>
      </c>
      <c r="AB9" s="13">
        <v>416.30952380952402</v>
      </c>
      <c r="AC9" s="13">
        <v>417.92857142857099</v>
      </c>
      <c r="AD9" s="13">
        <v>419.54761904761898</v>
      </c>
      <c r="AE9" s="13">
        <v>421.16666666666703</v>
      </c>
      <c r="AF9" s="13">
        <v>422.78571428571399</v>
      </c>
      <c r="AG9" s="13">
        <v>424.40476190476198</v>
      </c>
      <c r="AH9" s="13">
        <v>426.02380952380997</v>
      </c>
      <c r="AI9" s="13">
        <v>427.642857142857</v>
      </c>
      <c r="AJ9" s="13">
        <v>429.26190476190499</v>
      </c>
      <c r="AK9" s="13">
        <v>430.88095238095201</v>
      </c>
      <c r="AL9" s="13">
        <v>432.5</v>
      </c>
      <c r="AM9" s="13">
        <v>434.11904761904799</v>
      </c>
      <c r="AN9" s="13">
        <v>435.73809523809501</v>
      </c>
      <c r="AO9" s="13">
        <v>437.357142857143</v>
      </c>
      <c r="AP9" s="13">
        <v>438.97619047619099</v>
      </c>
      <c r="AQ9" s="13">
        <v>440.59523809523802</v>
      </c>
      <c r="AR9" s="13">
        <v>442.21428571428601</v>
      </c>
      <c r="AS9" s="13">
        <v>443.83333333333297</v>
      </c>
      <c r="AT9" s="13">
        <v>445.45238095238102</v>
      </c>
      <c r="AU9" s="13">
        <v>447.07142857142901</v>
      </c>
      <c r="AV9" s="13">
        <v>448.69047619047598</v>
      </c>
      <c r="AW9" s="13">
        <v>450.30952380952402</v>
      </c>
      <c r="AX9" s="13">
        <v>451.92857142857099</v>
      </c>
      <c r="AY9" s="13">
        <v>453.54761904761898</v>
      </c>
      <c r="AZ9" s="13">
        <v>455.16666666666703</v>
      </c>
    </row>
    <row r="10" spans="1:52" ht="15">
      <c r="A10" s="18" t="s">
        <v>140</v>
      </c>
      <c r="B10" s="18" t="s">
        <v>133</v>
      </c>
      <c r="C10" s="13">
        <v>280</v>
      </c>
      <c r="D10" s="13">
        <v>301</v>
      </c>
      <c r="E10" s="13">
        <v>412</v>
      </c>
      <c r="F10" s="13">
        <v>403</v>
      </c>
      <c r="G10" s="13">
        <v>280</v>
      </c>
      <c r="H10" s="13">
        <v>301</v>
      </c>
      <c r="I10" s="13">
        <v>412</v>
      </c>
      <c r="J10" s="13">
        <v>403</v>
      </c>
      <c r="K10" s="13">
        <v>400.42857142857099</v>
      </c>
      <c r="L10" s="13">
        <v>411.857142857143</v>
      </c>
      <c r="M10" s="13">
        <v>423.28571428571399</v>
      </c>
      <c r="N10" s="13">
        <v>434.71428571428601</v>
      </c>
      <c r="O10" s="13">
        <v>446.142857142857</v>
      </c>
      <c r="P10" s="13">
        <v>457.57142857142901</v>
      </c>
      <c r="Q10" s="13">
        <v>469</v>
      </c>
      <c r="R10" s="13">
        <v>480.42857142857099</v>
      </c>
      <c r="S10" s="13">
        <v>491.857142857143</v>
      </c>
      <c r="T10" s="13">
        <v>503.28571428571399</v>
      </c>
      <c r="U10" s="13">
        <v>514.71428571428601</v>
      </c>
      <c r="V10" s="13">
        <v>526.142857142857</v>
      </c>
      <c r="W10" s="13">
        <v>537.57142857142901</v>
      </c>
      <c r="X10" s="13">
        <v>549</v>
      </c>
      <c r="Y10" s="13">
        <v>560.42857142857099</v>
      </c>
      <c r="Z10" s="13">
        <v>571.857142857143</v>
      </c>
      <c r="AA10" s="13">
        <v>583.28571428571399</v>
      </c>
      <c r="AB10" s="13">
        <v>594.71428571428601</v>
      </c>
      <c r="AC10" s="13">
        <v>606.142857142857</v>
      </c>
      <c r="AD10" s="13">
        <v>617.57142857142901</v>
      </c>
      <c r="AE10" s="13">
        <v>629</v>
      </c>
      <c r="AF10" s="13">
        <v>640.42857142857201</v>
      </c>
      <c r="AG10" s="13">
        <v>651.857142857143</v>
      </c>
      <c r="AH10" s="13">
        <v>663.28571428571399</v>
      </c>
      <c r="AI10" s="13">
        <v>674.71428571428601</v>
      </c>
      <c r="AJ10" s="13">
        <v>686.142857142857</v>
      </c>
      <c r="AK10" s="13">
        <v>697.57142857142901</v>
      </c>
      <c r="AL10" s="13">
        <v>709</v>
      </c>
      <c r="AM10" s="13">
        <v>720.42857142857201</v>
      </c>
      <c r="AN10" s="13">
        <v>731.857142857143</v>
      </c>
      <c r="AO10" s="13">
        <v>743.28571428571399</v>
      </c>
      <c r="AP10" s="13">
        <v>754.71428571428601</v>
      </c>
      <c r="AQ10" s="13">
        <v>766.142857142857</v>
      </c>
      <c r="AR10" s="13">
        <v>777.57142857142901</v>
      </c>
      <c r="AS10" s="13">
        <v>789</v>
      </c>
      <c r="AT10" s="13">
        <v>800.42857142857201</v>
      </c>
      <c r="AU10" s="13">
        <v>811.857142857143</v>
      </c>
      <c r="AV10" s="13">
        <v>823.28571428571399</v>
      </c>
      <c r="AW10" s="13">
        <v>834.71428571428601</v>
      </c>
      <c r="AX10" s="13">
        <v>846.142857142857</v>
      </c>
      <c r="AY10" s="13">
        <v>857.57142857142901</v>
      </c>
      <c r="AZ10" s="13">
        <v>869</v>
      </c>
    </row>
    <row r="11" spans="1:52" ht="15">
      <c r="A11" s="18" t="s">
        <v>141</v>
      </c>
      <c r="B11" s="18" t="s">
        <v>137</v>
      </c>
      <c r="C11" s="13">
        <v>434</v>
      </c>
      <c r="D11" s="13">
        <v>279</v>
      </c>
      <c r="E11" s="13">
        <v>363</v>
      </c>
      <c r="F11" s="13">
        <v>266</v>
      </c>
      <c r="G11" s="13">
        <v>434</v>
      </c>
      <c r="H11" s="13">
        <v>279</v>
      </c>
      <c r="I11" s="13">
        <v>363</v>
      </c>
      <c r="J11" s="13">
        <v>266</v>
      </c>
      <c r="K11" s="13">
        <v>290.5</v>
      </c>
      <c r="L11" s="13">
        <v>280.5</v>
      </c>
      <c r="M11" s="13">
        <v>270.5</v>
      </c>
      <c r="N11" s="13">
        <v>260.5</v>
      </c>
      <c r="O11" s="13">
        <v>250.5</v>
      </c>
      <c r="P11" s="13">
        <v>240.5</v>
      </c>
      <c r="Q11" s="13">
        <v>230.5</v>
      </c>
      <c r="R11" s="13">
        <v>220.5</v>
      </c>
      <c r="S11" s="13">
        <v>210.5</v>
      </c>
      <c r="T11" s="13">
        <v>200.5</v>
      </c>
      <c r="U11" s="13">
        <v>190.5</v>
      </c>
      <c r="V11" s="13">
        <v>180.5</v>
      </c>
      <c r="W11" s="13">
        <v>170.5</v>
      </c>
      <c r="X11" s="13">
        <v>160.5</v>
      </c>
      <c r="Y11" s="13">
        <v>150.5</v>
      </c>
      <c r="Z11" s="13">
        <v>140.5</v>
      </c>
      <c r="AA11" s="13">
        <v>130.5</v>
      </c>
      <c r="AB11" s="13">
        <v>120.5</v>
      </c>
      <c r="AC11" s="13">
        <v>110.5</v>
      </c>
      <c r="AD11" s="13">
        <v>100.5</v>
      </c>
      <c r="AE11" s="13">
        <v>90.5</v>
      </c>
      <c r="AF11" s="13">
        <v>80.5</v>
      </c>
      <c r="AG11" s="13">
        <v>70.5</v>
      </c>
      <c r="AH11" s="13">
        <v>60.5</v>
      </c>
      <c r="AI11" s="13">
        <v>50.5</v>
      </c>
      <c r="AJ11" s="13">
        <v>40.5</v>
      </c>
      <c r="AK11" s="13">
        <v>30.5</v>
      </c>
      <c r="AL11" s="13">
        <v>20.5</v>
      </c>
      <c r="AM11" s="13">
        <v>10.5</v>
      </c>
      <c r="AN11" s="13">
        <v>0.5</v>
      </c>
      <c r="AO11" s="13">
        <v>-9.5</v>
      </c>
      <c r="AP11" s="13">
        <v>-19.5</v>
      </c>
      <c r="AQ11" s="13">
        <v>-29.5</v>
      </c>
      <c r="AR11" s="13">
        <v>-39.5</v>
      </c>
      <c r="AS11" s="13">
        <v>-49.5</v>
      </c>
      <c r="AT11" s="13">
        <v>-59.5</v>
      </c>
      <c r="AU11" s="13">
        <v>-69.5</v>
      </c>
      <c r="AV11" s="13">
        <v>-79.5</v>
      </c>
      <c r="AW11" s="13">
        <v>-89.5</v>
      </c>
      <c r="AX11" s="13">
        <v>-99.5</v>
      </c>
      <c r="AY11" s="13">
        <v>-109.5</v>
      </c>
      <c r="AZ11" s="13">
        <v>-119.5</v>
      </c>
    </row>
    <row r="12" spans="1:52" ht="15">
      <c r="A12" s="18" t="s">
        <v>15</v>
      </c>
      <c r="B12" s="18" t="s">
        <v>134</v>
      </c>
      <c r="C12" s="13">
        <v>404</v>
      </c>
      <c r="D12" s="13">
        <v>334</v>
      </c>
      <c r="E12" s="13">
        <v>230</v>
      </c>
      <c r="F12" s="13">
        <v>344</v>
      </c>
      <c r="G12" s="13">
        <v>404</v>
      </c>
      <c r="H12" s="13">
        <v>334</v>
      </c>
      <c r="I12" s="13">
        <v>230</v>
      </c>
      <c r="J12" s="13">
        <v>344</v>
      </c>
      <c r="K12" s="13">
        <v>297.57142857142901</v>
      </c>
      <c r="L12" s="13">
        <v>290.80952380952402</v>
      </c>
      <c r="M12" s="13">
        <v>284.04761904761898</v>
      </c>
      <c r="N12" s="13">
        <v>277.28571428571399</v>
      </c>
      <c r="O12" s="13">
        <v>270.52380952380997</v>
      </c>
      <c r="P12" s="13">
        <v>263.76190476190499</v>
      </c>
      <c r="Q12" s="13">
        <v>257</v>
      </c>
      <c r="R12" s="13">
        <v>250.23809523809601</v>
      </c>
      <c r="S12" s="13">
        <v>243.47619047619099</v>
      </c>
      <c r="T12" s="13">
        <v>236.71428571428601</v>
      </c>
      <c r="U12" s="13">
        <v>229.95238095238099</v>
      </c>
      <c r="V12" s="13">
        <v>223.190476190477</v>
      </c>
      <c r="W12" s="13">
        <v>216.42857142857201</v>
      </c>
      <c r="X12" s="13">
        <v>209.666666666667</v>
      </c>
      <c r="Y12" s="13">
        <v>202.90476190476201</v>
      </c>
      <c r="Z12" s="13">
        <v>196.14285714285799</v>
      </c>
      <c r="AA12" s="13">
        <v>189.380952380953</v>
      </c>
      <c r="AB12" s="13">
        <v>182.61904761904799</v>
      </c>
      <c r="AC12" s="13">
        <v>175.857142857143</v>
      </c>
      <c r="AD12" s="13">
        <v>169.09523809523799</v>
      </c>
      <c r="AE12" s="13">
        <v>162.333333333334</v>
      </c>
      <c r="AF12" s="13">
        <v>155.57142857142901</v>
      </c>
      <c r="AG12" s="13">
        <v>148.80952380952399</v>
      </c>
      <c r="AH12" s="13">
        <v>142.04761904761901</v>
      </c>
      <c r="AI12" s="13">
        <v>135.28571428571499</v>
      </c>
      <c r="AJ12" s="13">
        <v>128.52380952381</v>
      </c>
      <c r="AK12" s="13">
        <v>121.761904761905</v>
      </c>
      <c r="AL12" s="13">
        <v>115</v>
      </c>
      <c r="AM12" s="13">
        <v>108.23809523809599</v>
      </c>
      <c r="AN12" s="13">
        <v>101.47619047619099</v>
      </c>
      <c r="AO12" s="13">
        <v>94.714285714285694</v>
      </c>
      <c r="AP12" s="13">
        <v>87.952380952380693</v>
      </c>
      <c r="AQ12" s="13">
        <v>81.190476190476701</v>
      </c>
      <c r="AR12" s="13">
        <v>74.428571428571701</v>
      </c>
      <c r="AS12" s="13">
        <v>67.6666666666667</v>
      </c>
      <c r="AT12" s="13">
        <v>60.904761904761699</v>
      </c>
      <c r="AU12" s="13">
        <v>54.1428571428577</v>
      </c>
      <c r="AV12" s="13">
        <v>47.380952380952699</v>
      </c>
      <c r="AW12" s="13">
        <v>40.619047619047699</v>
      </c>
      <c r="AX12" s="13">
        <v>33.857142857142698</v>
      </c>
      <c r="AY12" s="13">
        <v>27.095238095238699</v>
      </c>
      <c r="AZ12" s="13">
        <v>20.333333333333702</v>
      </c>
    </row>
    <row r="13" spans="1:52" ht="15">
      <c r="A13" s="18" t="s">
        <v>138</v>
      </c>
      <c r="B13" s="18" t="s">
        <v>133</v>
      </c>
      <c r="C13" s="13">
        <v>397</v>
      </c>
      <c r="D13" s="13">
        <v>382</v>
      </c>
      <c r="E13" s="13">
        <v>362</v>
      </c>
      <c r="F13" s="13">
        <v>423</v>
      </c>
      <c r="G13" s="13">
        <v>397</v>
      </c>
      <c r="H13" s="13">
        <v>382</v>
      </c>
      <c r="I13" s="13">
        <v>362</v>
      </c>
      <c r="J13" s="13">
        <v>423</v>
      </c>
      <c r="K13" s="13">
        <v>397.21428571428601</v>
      </c>
      <c r="L13" s="13">
        <v>398.59523809523802</v>
      </c>
      <c r="M13" s="13">
        <v>399.97619047619003</v>
      </c>
      <c r="N13" s="13">
        <v>401.357142857143</v>
      </c>
      <c r="O13" s="13">
        <v>402.73809523809501</v>
      </c>
      <c r="P13" s="13">
        <v>404.11904761904799</v>
      </c>
      <c r="Q13" s="13">
        <v>405.5</v>
      </c>
      <c r="R13" s="13">
        <v>406.88095238095201</v>
      </c>
      <c r="S13" s="13">
        <v>408.26190476190499</v>
      </c>
      <c r="T13" s="13">
        <v>409.642857142857</v>
      </c>
      <c r="U13" s="13">
        <v>411.02380952380997</v>
      </c>
      <c r="V13" s="13">
        <v>412.40476190476198</v>
      </c>
      <c r="W13" s="13">
        <v>413.78571428571399</v>
      </c>
      <c r="X13" s="13">
        <v>415.16666666666703</v>
      </c>
      <c r="Y13" s="13">
        <v>416.54761904761898</v>
      </c>
      <c r="Z13" s="13">
        <v>417.92857142857201</v>
      </c>
      <c r="AA13" s="13">
        <v>419.30952380952402</v>
      </c>
      <c r="AB13" s="13">
        <v>420.69047619047598</v>
      </c>
      <c r="AC13" s="13">
        <v>422.07142857142901</v>
      </c>
      <c r="AD13" s="13">
        <v>423.45238095238102</v>
      </c>
      <c r="AE13" s="13">
        <v>424.83333333333297</v>
      </c>
      <c r="AF13" s="13">
        <v>426.21428571428601</v>
      </c>
      <c r="AG13" s="13">
        <v>427.59523809523802</v>
      </c>
      <c r="AH13" s="13">
        <v>428.97619047619003</v>
      </c>
      <c r="AI13" s="13">
        <v>430.357142857143</v>
      </c>
      <c r="AJ13" s="13">
        <v>431.73809523809501</v>
      </c>
      <c r="AK13" s="13">
        <v>433.11904761904799</v>
      </c>
      <c r="AL13" s="13">
        <v>434.5</v>
      </c>
      <c r="AM13" s="13">
        <v>435.88095238095201</v>
      </c>
      <c r="AN13" s="13">
        <v>437.26190476190499</v>
      </c>
      <c r="AO13" s="13">
        <v>438.642857142857</v>
      </c>
      <c r="AP13" s="13">
        <v>440.02380952380901</v>
      </c>
      <c r="AQ13" s="13">
        <v>441.40476190476198</v>
      </c>
      <c r="AR13" s="13">
        <v>442.78571428571399</v>
      </c>
      <c r="AS13" s="13">
        <v>444.16666666666703</v>
      </c>
      <c r="AT13" s="13">
        <v>445.54761904761898</v>
      </c>
      <c r="AU13" s="13">
        <v>446.92857142857201</v>
      </c>
      <c r="AV13" s="13">
        <v>448.30952380952402</v>
      </c>
      <c r="AW13" s="13">
        <v>449.69047619047598</v>
      </c>
      <c r="AX13" s="13">
        <v>451.07142857142901</v>
      </c>
      <c r="AY13" s="13">
        <v>452.45238095238102</v>
      </c>
      <c r="AZ13" s="13">
        <v>453.83333333333297</v>
      </c>
    </row>
    <row r="14" spans="1:52" ht="15">
      <c r="A14" s="18" t="s">
        <v>15</v>
      </c>
      <c r="B14" s="18" t="s">
        <v>137</v>
      </c>
      <c r="C14" s="13">
        <v>293</v>
      </c>
      <c r="D14" s="13">
        <v>325</v>
      </c>
      <c r="E14" s="13">
        <v>223</v>
      </c>
      <c r="F14" s="13">
        <v>421</v>
      </c>
      <c r="G14" s="13">
        <v>293</v>
      </c>
      <c r="H14" s="13">
        <v>325</v>
      </c>
      <c r="I14" s="13">
        <v>223</v>
      </c>
      <c r="J14" s="13">
        <v>421</v>
      </c>
      <c r="K14" s="13">
        <v>345.71428571428601</v>
      </c>
      <c r="L14" s="13">
        <v>352.42857142857099</v>
      </c>
      <c r="M14" s="13">
        <v>359.142857142857</v>
      </c>
      <c r="N14" s="13">
        <v>365.857142857143</v>
      </c>
      <c r="O14" s="13">
        <v>372.57142857142901</v>
      </c>
      <c r="P14" s="13">
        <v>379.28571428571399</v>
      </c>
      <c r="Q14" s="13">
        <v>386</v>
      </c>
      <c r="R14" s="13">
        <v>392.71428571428601</v>
      </c>
      <c r="S14" s="13">
        <v>399.42857142857099</v>
      </c>
      <c r="T14" s="13">
        <v>406.142857142857</v>
      </c>
      <c r="U14" s="13">
        <v>412.857142857143</v>
      </c>
      <c r="V14" s="13">
        <v>419.57142857142901</v>
      </c>
      <c r="W14" s="13">
        <v>426.28571428571399</v>
      </c>
      <c r="X14" s="13">
        <v>433</v>
      </c>
      <c r="Y14" s="13">
        <v>439.71428571428601</v>
      </c>
      <c r="Z14" s="13">
        <v>446.42857142857099</v>
      </c>
      <c r="AA14" s="13">
        <v>453.142857142857</v>
      </c>
      <c r="AB14" s="13">
        <v>459.857142857143</v>
      </c>
      <c r="AC14" s="13">
        <v>466.57142857142901</v>
      </c>
      <c r="AD14" s="13">
        <v>473.28571428571399</v>
      </c>
      <c r="AE14" s="13">
        <v>480</v>
      </c>
      <c r="AF14" s="13">
        <v>486.71428571428601</v>
      </c>
      <c r="AG14" s="13">
        <v>493.42857142857099</v>
      </c>
      <c r="AH14" s="13">
        <v>500.142857142857</v>
      </c>
      <c r="AI14" s="13">
        <v>506.857142857143</v>
      </c>
      <c r="AJ14" s="13">
        <v>513.57142857142901</v>
      </c>
      <c r="AK14" s="13">
        <v>520.28571428571399</v>
      </c>
      <c r="AL14" s="13">
        <v>527</v>
      </c>
      <c r="AM14" s="13">
        <v>533.71428571428601</v>
      </c>
      <c r="AN14" s="13">
        <v>540.42857142857099</v>
      </c>
      <c r="AO14" s="13">
        <v>547.142857142857</v>
      </c>
      <c r="AP14" s="13">
        <v>553.857142857143</v>
      </c>
      <c r="AQ14" s="13">
        <v>560.57142857142799</v>
      </c>
      <c r="AR14" s="13">
        <v>567.28571428571399</v>
      </c>
      <c r="AS14" s="13">
        <v>574</v>
      </c>
      <c r="AT14" s="13">
        <v>580.71428571428601</v>
      </c>
      <c r="AU14" s="13">
        <v>587.42857142857099</v>
      </c>
      <c r="AV14" s="13">
        <v>594.142857142857</v>
      </c>
      <c r="AW14" s="13">
        <v>600.857142857143</v>
      </c>
      <c r="AX14" s="13">
        <v>607.57142857142799</v>
      </c>
      <c r="AY14" s="13">
        <v>614.28571428571399</v>
      </c>
      <c r="AZ14" s="13">
        <v>621</v>
      </c>
    </row>
    <row r="15" spans="1:52" ht="15">
      <c r="A15" s="18" t="s">
        <v>23</v>
      </c>
      <c r="B15" s="18" t="s">
        <v>137</v>
      </c>
      <c r="C15" s="13">
        <v>342</v>
      </c>
      <c r="D15" s="13">
        <v>377</v>
      </c>
      <c r="E15" s="13">
        <v>258</v>
      </c>
      <c r="F15" s="13">
        <v>350</v>
      </c>
      <c r="G15" s="13">
        <v>342</v>
      </c>
      <c r="H15" s="13">
        <v>377</v>
      </c>
      <c r="I15" s="13">
        <v>258</v>
      </c>
      <c r="J15" s="13">
        <v>350</v>
      </c>
      <c r="K15" s="13">
        <v>321.57142857142901</v>
      </c>
      <c r="L15" s="13">
        <v>319.30952380952402</v>
      </c>
      <c r="M15" s="13">
        <v>317.04761904761898</v>
      </c>
      <c r="N15" s="13">
        <v>314.78571428571399</v>
      </c>
      <c r="O15" s="13">
        <v>312.52380952380997</v>
      </c>
      <c r="P15" s="13">
        <v>310.26190476190499</v>
      </c>
      <c r="Q15" s="13">
        <v>308</v>
      </c>
      <c r="R15" s="13">
        <v>305.73809523809501</v>
      </c>
      <c r="S15" s="13">
        <v>303.47619047619003</v>
      </c>
      <c r="T15" s="13">
        <v>301.21428571428601</v>
      </c>
      <c r="U15" s="13">
        <v>298.95238095238102</v>
      </c>
      <c r="V15" s="13">
        <v>296.69047619047598</v>
      </c>
      <c r="W15" s="13">
        <v>294.42857142857201</v>
      </c>
      <c r="X15" s="13">
        <v>292.16666666666703</v>
      </c>
      <c r="Y15" s="13">
        <v>289.90476190476198</v>
      </c>
      <c r="Z15" s="13">
        <v>287.642857142857</v>
      </c>
      <c r="AA15" s="13">
        <v>285.38095238095201</v>
      </c>
      <c r="AB15" s="13">
        <v>283.11904761904799</v>
      </c>
      <c r="AC15" s="13">
        <v>280.857142857143</v>
      </c>
      <c r="AD15" s="13">
        <v>278.59523809523802</v>
      </c>
      <c r="AE15" s="13">
        <v>276.33333333333297</v>
      </c>
      <c r="AF15" s="13">
        <v>274.07142857142901</v>
      </c>
      <c r="AG15" s="13">
        <v>271.80952380952402</v>
      </c>
      <c r="AH15" s="13">
        <v>269.54761904761898</v>
      </c>
      <c r="AI15" s="13">
        <v>267.28571428571399</v>
      </c>
      <c r="AJ15" s="13">
        <v>265.02380952380997</v>
      </c>
      <c r="AK15" s="13">
        <v>262.76190476190499</v>
      </c>
      <c r="AL15" s="13">
        <v>260.5</v>
      </c>
      <c r="AM15" s="13">
        <v>258.23809523809501</v>
      </c>
      <c r="AN15" s="13">
        <v>255.97619047619</v>
      </c>
      <c r="AO15" s="13">
        <v>253.71428571428601</v>
      </c>
      <c r="AP15" s="13">
        <v>251.45238095238099</v>
      </c>
      <c r="AQ15" s="13">
        <v>249.19047619047601</v>
      </c>
      <c r="AR15" s="13">
        <v>246.92857142857201</v>
      </c>
      <c r="AS15" s="13">
        <v>244.666666666667</v>
      </c>
      <c r="AT15" s="13">
        <v>242.40476190476201</v>
      </c>
      <c r="AU15" s="13">
        <v>240.142857142857</v>
      </c>
      <c r="AV15" s="13">
        <v>237.880952380953</v>
      </c>
      <c r="AW15" s="13">
        <v>235.61904761904799</v>
      </c>
      <c r="AX15" s="13">
        <v>233.357142857143</v>
      </c>
      <c r="AY15" s="13">
        <v>231.09523809523799</v>
      </c>
      <c r="AZ15" s="13">
        <v>228.833333333334</v>
      </c>
    </row>
    <row r="16" spans="1:52" ht="15">
      <c r="A16" s="18" t="s">
        <v>141</v>
      </c>
      <c r="B16" s="18" t="s">
        <v>133</v>
      </c>
      <c r="C16" s="13">
        <v>386</v>
      </c>
      <c r="D16" s="13">
        <v>250</v>
      </c>
      <c r="E16" s="13">
        <v>356</v>
      </c>
      <c r="F16" s="13">
        <v>415</v>
      </c>
      <c r="G16" s="13">
        <v>386</v>
      </c>
      <c r="H16" s="13">
        <v>250</v>
      </c>
      <c r="I16" s="13">
        <v>356</v>
      </c>
      <c r="J16" s="13">
        <v>415</v>
      </c>
      <c r="K16" s="13">
        <v>372.42857142857099</v>
      </c>
      <c r="L16" s="13">
        <v>377.02380952380901</v>
      </c>
      <c r="M16" s="13">
        <v>381.61904761904799</v>
      </c>
      <c r="N16" s="13">
        <v>386.21428571428601</v>
      </c>
      <c r="O16" s="13">
        <v>390.80952380952402</v>
      </c>
      <c r="P16" s="13">
        <v>395.40476190476198</v>
      </c>
      <c r="Q16" s="13">
        <v>400</v>
      </c>
      <c r="R16" s="13">
        <v>404.59523809523802</v>
      </c>
      <c r="S16" s="13">
        <v>409.19047619047598</v>
      </c>
      <c r="T16" s="13">
        <v>413.78571428571399</v>
      </c>
      <c r="U16" s="13">
        <v>418.38095238095201</v>
      </c>
      <c r="V16" s="13">
        <v>422.97619047619003</v>
      </c>
      <c r="W16" s="13">
        <v>427.57142857142901</v>
      </c>
      <c r="X16" s="13">
        <v>432.16666666666703</v>
      </c>
      <c r="Y16" s="13">
        <v>436.76190476190499</v>
      </c>
      <c r="Z16" s="13">
        <v>441.357142857143</v>
      </c>
      <c r="AA16" s="13">
        <v>445.95238095238102</v>
      </c>
      <c r="AB16" s="13">
        <v>450.54761904761898</v>
      </c>
      <c r="AC16" s="13">
        <v>455.142857142857</v>
      </c>
      <c r="AD16" s="13">
        <v>459.73809523809598</v>
      </c>
      <c r="AE16" s="13">
        <v>464.333333333334</v>
      </c>
      <c r="AF16" s="13">
        <v>468.92857142857201</v>
      </c>
      <c r="AG16" s="13">
        <v>473.52380952380997</v>
      </c>
      <c r="AH16" s="13">
        <v>478.11904761904799</v>
      </c>
      <c r="AI16" s="13">
        <v>482.71428571428601</v>
      </c>
      <c r="AJ16" s="13">
        <v>487.30952380952402</v>
      </c>
      <c r="AK16" s="13">
        <v>491.90476190476198</v>
      </c>
      <c r="AL16" s="13">
        <v>496.5</v>
      </c>
      <c r="AM16" s="13">
        <v>501.09523809523802</v>
      </c>
      <c r="AN16" s="13">
        <v>505.69047619047598</v>
      </c>
      <c r="AO16" s="13">
        <v>510.28571428571502</v>
      </c>
      <c r="AP16" s="13">
        <v>514.88095238095298</v>
      </c>
      <c r="AQ16" s="13">
        <v>519.47619047619105</v>
      </c>
      <c r="AR16" s="13">
        <v>524.07142857142901</v>
      </c>
      <c r="AS16" s="13">
        <v>528.66666666666697</v>
      </c>
      <c r="AT16" s="13">
        <v>533.26190476190504</v>
      </c>
      <c r="AU16" s="13">
        <v>537.857142857143</v>
      </c>
      <c r="AV16" s="13">
        <v>542.45238095238096</v>
      </c>
      <c r="AW16" s="13">
        <v>547.04761904761904</v>
      </c>
      <c r="AX16" s="13">
        <v>551.642857142857</v>
      </c>
      <c r="AY16" s="13">
        <v>556.23809523809496</v>
      </c>
      <c r="AZ16" s="13">
        <v>560.83333333333405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showGridLines="0" topLeftCell="C1" zoomScale="70" zoomScaleNormal="70" workbookViewId="0">
      <selection activeCell="K25" sqref="K25"/>
    </sheetView>
  </sheetViews>
  <sheetFormatPr defaultColWidth="9.125" defaultRowHeight="20.100000000000001" customHeight="1"/>
  <cols>
    <col min="1" max="1" width="17.375" style="20" customWidth="1"/>
    <col min="2" max="2" width="13.625" style="20" bestFit="1" customWidth="1"/>
    <col min="3" max="3" width="13.75" style="20" bestFit="1" customWidth="1"/>
    <col min="4" max="4" width="14.625" style="20" bestFit="1" customWidth="1"/>
    <col min="5" max="5" width="14.75" style="20" bestFit="1" customWidth="1"/>
    <col min="6" max="7" width="21.75" style="20" customWidth="1"/>
    <col min="8" max="8" width="21.25" style="20" customWidth="1"/>
    <col min="9" max="9" width="26.75" style="20" bestFit="1" customWidth="1"/>
    <col min="10" max="10" width="9.125" style="20"/>
    <col min="11" max="11" width="24.375" style="20" bestFit="1" customWidth="1"/>
    <col min="12" max="12" width="22.25" style="1" bestFit="1" customWidth="1"/>
    <col min="13" max="13" width="21.625" style="20" bestFit="1" customWidth="1"/>
    <col min="14" max="14" width="24.625" style="20" bestFit="1" customWidth="1"/>
    <col min="15" max="16384" width="9.125" style="20"/>
  </cols>
  <sheetData>
    <row r="1" spans="1:14" ht="20.100000000000001" customHeight="1" thickBot="1">
      <c r="A1" s="175" t="s">
        <v>19</v>
      </c>
      <c r="B1" s="176" t="s">
        <v>142</v>
      </c>
      <c r="C1" s="176" t="s">
        <v>143</v>
      </c>
      <c r="D1" s="176" t="s">
        <v>144</v>
      </c>
      <c r="E1" s="176" t="s">
        <v>145</v>
      </c>
      <c r="F1" s="176" t="s">
        <v>146</v>
      </c>
      <c r="G1" s="176" t="s">
        <v>147</v>
      </c>
      <c r="H1" s="177" t="s">
        <v>148</v>
      </c>
      <c r="I1" s="178" t="s">
        <v>149</v>
      </c>
      <c r="K1" s="179" t="s">
        <v>150</v>
      </c>
      <c r="L1" s="179" t="s">
        <v>151</v>
      </c>
      <c r="M1" s="179" t="s">
        <v>152</v>
      </c>
    </row>
    <row r="2" spans="1:14" ht="20.100000000000001" customHeight="1" thickBot="1">
      <c r="A2" s="21">
        <v>41646</v>
      </c>
      <c r="B2" s="22" t="s">
        <v>153</v>
      </c>
      <c r="C2" s="22" t="s">
        <v>154</v>
      </c>
      <c r="D2" s="22">
        <v>34</v>
      </c>
      <c r="E2" s="23">
        <v>184.2</v>
      </c>
      <c r="F2" s="24">
        <f>D2*E2</f>
        <v>6262.7999999999993</v>
      </c>
      <c r="G2" s="23">
        <f>F2*3%</f>
        <v>187.88399999999996</v>
      </c>
      <c r="H2" s="23">
        <f>F2-G2</f>
        <v>6074.9159999999993</v>
      </c>
      <c r="I2" s="23">
        <f>H2/D2</f>
        <v>178.67399999999998</v>
      </c>
      <c r="K2" s="42">
        <f>SUM(D2:D21)</f>
        <v>1742</v>
      </c>
      <c r="L2" s="25">
        <f>SUM(F2:F20)</f>
        <v>1118798.8</v>
      </c>
      <c r="M2" s="26">
        <v>840</v>
      </c>
    </row>
    <row r="3" spans="1:14" ht="20.100000000000001" customHeight="1">
      <c r="A3" s="27">
        <v>41302</v>
      </c>
      <c r="B3" s="28" t="s">
        <v>155</v>
      </c>
      <c r="C3" s="28" t="s">
        <v>154</v>
      </c>
      <c r="D3" s="28">
        <v>30</v>
      </c>
      <c r="E3" s="29">
        <v>503</v>
      </c>
      <c r="F3" s="24">
        <f t="shared" ref="F3:F20" si="0">D3*E3</f>
        <v>15090</v>
      </c>
      <c r="G3" s="23">
        <f t="shared" ref="G3:G20" si="1">F3*3%</f>
        <v>452.7</v>
      </c>
      <c r="H3" s="23">
        <f t="shared" ref="H3:H20" si="2">F3-G3</f>
        <v>14637.3</v>
      </c>
      <c r="I3" s="23">
        <f t="shared" ref="I3:I20" si="3">H3/D3</f>
        <v>487.90999999999997</v>
      </c>
      <c r="L3" s="30"/>
    </row>
    <row r="4" spans="1:14" ht="20.100000000000001" customHeight="1">
      <c r="A4" s="27">
        <v>41408</v>
      </c>
      <c r="B4" s="28" t="s">
        <v>156</v>
      </c>
      <c r="C4" s="28" t="s">
        <v>157</v>
      </c>
      <c r="D4" s="28">
        <v>36</v>
      </c>
      <c r="E4" s="29">
        <v>255</v>
      </c>
      <c r="F4" s="24">
        <f t="shared" si="0"/>
        <v>9180</v>
      </c>
      <c r="G4" s="23">
        <f t="shared" si="1"/>
        <v>275.39999999999998</v>
      </c>
      <c r="H4" s="23">
        <f t="shared" si="2"/>
        <v>8904.6</v>
      </c>
      <c r="I4" s="23">
        <f t="shared" si="3"/>
        <v>247.35000000000002</v>
      </c>
      <c r="L4" s="31"/>
    </row>
    <row r="5" spans="1:14" ht="20.100000000000001" customHeight="1" thickBot="1">
      <c r="A5" s="27">
        <v>41513</v>
      </c>
      <c r="B5" s="28" t="s">
        <v>155</v>
      </c>
      <c r="C5" s="28" t="s">
        <v>154</v>
      </c>
      <c r="D5" s="28">
        <v>74</v>
      </c>
      <c r="E5" s="29">
        <v>156</v>
      </c>
      <c r="F5" s="24">
        <f t="shared" si="0"/>
        <v>11544</v>
      </c>
      <c r="G5" s="23">
        <f t="shared" si="1"/>
        <v>346.32</v>
      </c>
      <c r="H5" s="23">
        <f t="shared" si="2"/>
        <v>11197.68</v>
      </c>
      <c r="I5" s="23">
        <f t="shared" si="3"/>
        <v>151.32</v>
      </c>
      <c r="L5" s="31"/>
    </row>
    <row r="6" spans="1:14" ht="20.100000000000001" customHeight="1" thickBot="1">
      <c r="A6" s="27">
        <v>41597</v>
      </c>
      <c r="B6" s="28" t="s">
        <v>158</v>
      </c>
      <c r="C6" s="28" t="s">
        <v>154</v>
      </c>
      <c r="D6" s="28">
        <v>10</v>
      </c>
      <c r="E6" s="29">
        <v>708</v>
      </c>
      <c r="F6" s="24">
        <f t="shared" si="0"/>
        <v>7080</v>
      </c>
      <c r="G6" s="23">
        <f t="shared" si="1"/>
        <v>212.4</v>
      </c>
      <c r="H6" s="23">
        <f t="shared" si="2"/>
        <v>6867.6</v>
      </c>
      <c r="I6" s="23">
        <f t="shared" si="3"/>
        <v>686.76</v>
      </c>
      <c r="K6" s="180" t="s">
        <v>159</v>
      </c>
      <c r="L6" s="181" t="s">
        <v>160</v>
      </c>
      <c r="M6" s="181" t="s">
        <v>161</v>
      </c>
      <c r="N6" s="32"/>
    </row>
    <row r="7" spans="1:14" ht="20.100000000000001" customHeight="1">
      <c r="A7" s="27">
        <v>41833</v>
      </c>
      <c r="B7" s="28" t="s">
        <v>158</v>
      </c>
      <c r="C7" s="28" t="s">
        <v>162</v>
      </c>
      <c r="D7" s="28">
        <v>38</v>
      </c>
      <c r="E7" s="29">
        <v>559</v>
      </c>
      <c r="F7" s="24">
        <f t="shared" si="0"/>
        <v>21242</v>
      </c>
      <c r="G7" s="23">
        <f t="shared" si="1"/>
        <v>637.26</v>
      </c>
      <c r="H7" s="23">
        <f t="shared" si="2"/>
        <v>20604.740000000002</v>
      </c>
      <c r="I7" s="23">
        <f t="shared" si="3"/>
        <v>542.23</v>
      </c>
      <c r="K7" s="33" t="s">
        <v>154</v>
      </c>
      <c r="L7" s="22">
        <v>1000</v>
      </c>
      <c r="M7" s="22">
        <f>SUMIF($C$1:$C$20,K7,D1:D20)</f>
        <v>960</v>
      </c>
      <c r="N7" s="34">
        <f>L7-M7</f>
        <v>40</v>
      </c>
    </row>
    <row r="8" spans="1:14" ht="20.100000000000001" customHeight="1">
      <c r="A8" s="27">
        <v>41982</v>
      </c>
      <c r="B8" s="28" t="s">
        <v>155</v>
      </c>
      <c r="C8" s="28" t="s">
        <v>163</v>
      </c>
      <c r="D8" s="28">
        <v>90</v>
      </c>
      <c r="E8" s="29">
        <v>981</v>
      </c>
      <c r="F8" s="24">
        <f t="shared" si="0"/>
        <v>88290</v>
      </c>
      <c r="G8" s="23">
        <f t="shared" si="1"/>
        <v>2648.7</v>
      </c>
      <c r="H8" s="23">
        <f t="shared" si="2"/>
        <v>85641.3</v>
      </c>
      <c r="I8" s="23">
        <f t="shared" si="3"/>
        <v>951.57</v>
      </c>
      <c r="K8" s="35" t="s">
        <v>157</v>
      </c>
      <c r="L8" s="28">
        <v>3562</v>
      </c>
      <c r="M8" s="28">
        <f>SUMIF($C$1:$C$20,K8,D2:D21)</f>
        <v>470</v>
      </c>
      <c r="N8" s="34">
        <f t="shared" ref="N8:N11" si="4">L8-M8</f>
        <v>3092</v>
      </c>
    </row>
    <row r="9" spans="1:14" ht="20.100000000000001" customHeight="1">
      <c r="A9" s="27">
        <v>41125</v>
      </c>
      <c r="B9" s="28" t="s">
        <v>156</v>
      </c>
      <c r="C9" s="28" t="s">
        <v>163</v>
      </c>
      <c r="D9" s="28">
        <v>46</v>
      </c>
      <c r="E9" s="29">
        <v>779</v>
      </c>
      <c r="F9" s="24">
        <f t="shared" si="0"/>
        <v>35834</v>
      </c>
      <c r="G9" s="23">
        <f t="shared" si="1"/>
        <v>1075.02</v>
      </c>
      <c r="H9" s="23">
        <f t="shared" si="2"/>
        <v>34758.980000000003</v>
      </c>
      <c r="I9" s="23">
        <f t="shared" si="3"/>
        <v>755.63000000000011</v>
      </c>
      <c r="K9" s="35" t="s">
        <v>163</v>
      </c>
      <c r="L9" s="28">
        <v>4520</v>
      </c>
      <c r="M9" s="28">
        <f>SUMIF($C$1:$C$20,K9,D3:D22)</f>
        <v>358</v>
      </c>
      <c r="N9" s="34">
        <f t="shared" si="4"/>
        <v>4162</v>
      </c>
    </row>
    <row r="10" spans="1:14" ht="20.100000000000001" customHeight="1">
      <c r="A10" s="27">
        <v>41651</v>
      </c>
      <c r="B10" s="28" t="s">
        <v>164</v>
      </c>
      <c r="C10" s="28" t="s">
        <v>162</v>
      </c>
      <c r="D10" s="28">
        <v>70</v>
      </c>
      <c r="E10" s="29">
        <v>199</v>
      </c>
      <c r="F10" s="24">
        <f t="shared" si="0"/>
        <v>13930</v>
      </c>
      <c r="G10" s="23">
        <f t="shared" si="1"/>
        <v>417.9</v>
      </c>
      <c r="H10" s="23">
        <f t="shared" si="2"/>
        <v>13512.1</v>
      </c>
      <c r="I10" s="23">
        <f t="shared" si="3"/>
        <v>193.03</v>
      </c>
      <c r="K10" s="35" t="s">
        <v>162</v>
      </c>
      <c r="L10" s="28">
        <v>9523</v>
      </c>
      <c r="M10" s="28">
        <f>SUMIF($C$1:$C$20,K10,D4:D23)</f>
        <v>418</v>
      </c>
      <c r="N10" s="34">
        <f t="shared" si="4"/>
        <v>9105</v>
      </c>
    </row>
    <row r="11" spans="1:14" ht="20.100000000000001" customHeight="1" thickBot="1">
      <c r="A11" s="27">
        <v>41159</v>
      </c>
      <c r="B11" s="28" t="s">
        <v>153</v>
      </c>
      <c r="C11" s="28" t="s">
        <v>157</v>
      </c>
      <c r="D11" s="28">
        <v>188</v>
      </c>
      <c r="E11" s="29">
        <v>212</v>
      </c>
      <c r="F11" s="24">
        <f t="shared" si="0"/>
        <v>39856</v>
      </c>
      <c r="G11" s="23">
        <f t="shared" si="1"/>
        <v>1195.68</v>
      </c>
      <c r="H11" s="23">
        <f t="shared" si="2"/>
        <v>38660.32</v>
      </c>
      <c r="I11" s="23">
        <f t="shared" si="3"/>
        <v>205.64</v>
      </c>
      <c r="K11" s="36" t="s">
        <v>154</v>
      </c>
      <c r="L11" s="37">
        <v>2500</v>
      </c>
      <c r="M11" s="37">
        <f>SUMIF($C$1:$C$20,K11,D5:D24)</f>
        <v>374</v>
      </c>
      <c r="N11" s="34">
        <f t="shared" si="4"/>
        <v>2126</v>
      </c>
    </row>
    <row r="12" spans="1:14" ht="20.100000000000001" customHeight="1">
      <c r="A12" s="27">
        <v>41734</v>
      </c>
      <c r="B12" s="28" t="s">
        <v>153</v>
      </c>
      <c r="C12" s="28" t="s">
        <v>157</v>
      </c>
      <c r="D12" s="28">
        <v>156</v>
      </c>
      <c r="E12" s="29">
        <v>715</v>
      </c>
      <c r="F12" s="24">
        <f t="shared" si="0"/>
        <v>111540</v>
      </c>
      <c r="G12" s="23">
        <f t="shared" si="1"/>
        <v>3346.2</v>
      </c>
      <c r="H12" s="23">
        <f t="shared" si="2"/>
        <v>108193.8</v>
      </c>
      <c r="I12" s="23">
        <f t="shared" si="3"/>
        <v>693.55000000000007</v>
      </c>
      <c r="L12" s="31"/>
    </row>
    <row r="13" spans="1:14" ht="20.100000000000001" customHeight="1">
      <c r="A13" s="27">
        <v>41863</v>
      </c>
      <c r="B13" s="28" t="s">
        <v>155</v>
      </c>
      <c r="C13" s="28" t="s">
        <v>154</v>
      </c>
      <c r="D13" s="28">
        <v>240</v>
      </c>
      <c r="E13" s="29">
        <v>855</v>
      </c>
      <c r="F13" s="24">
        <f t="shared" si="0"/>
        <v>205200</v>
      </c>
      <c r="G13" s="23">
        <f t="shared" si="1"/>
        <v>6156</v>
      </c>
      <c r="H13" s="23">
        <f t="shared" si="2"/>
        <v>199044</v>
      </c>
      <c r="I13" s="23">
        <f t="shared" si="3"/>
        <v>829.35</v>
      </c>
      <c r="L13" s="31"/>
    </row>
    <row r="14" spans="1:14" ht="20.100000000000001" customHeight="1" thickBot="1">
      <c r="A14" s="27">
        <v>41197</v>
      </c>
      <c r="B14" s="28" t="s">
        <v>158</v>
      </c>
      <c r="C14" s="28" t="s">
        <v>154</v>
      </c>
      <c r="D14" s="28">
        <v>38</v>
      </c>
      <c r="E14" s="29">
        <v>373</v>
      </c>
      <c r="F14" s="24">
        <f t="shared" si="0"/>
        <v>14174</v>
      </c>
      <c r="G14" s="23">
        <f t="shared" si="1"/>
        <v>425.21999999999997</v>
      </c>
      <c r="H14" s="23">
        <f t="shared" si="2"/>
        <v>13748.78</v>
      </c>
      <c r="I14" s="23">
        <f t="shared" si="3"/>
        <v>361.81</v>
      </c>
      <c r="K14" s="38" t="s">
        <v>165</v>
      </c>
      <c r="L14" s="31"/>
    </row>
    <row r="15" spans="1:14" ht="20.100000000000001" customHeight="1" thickBot="1">
      <c r="A15" s="27">
        <v>41562</v>
      </c>
      <c r="B15" s="28" t="s">
        <v>164</v>
      </c>
      <c r="C15" s="28" t="s">
        <v>162</v>
      </c>
      <c r="D15" s="28">
        <v>50</v>
      </c>
      <c r="E15" s="29">
        <v>578</v>
      </c>
      <c r="F15" s="24">
        <f t="shared" si="0"/>
        <v>28900</v>
      </c>
      <c r="G15" s="23">
        <f t="shared" si="1"/>
        <v>867</v>
      </c>
      <c r="H15" s="23">
        <f t="shared" si="2"/>
        <v>28033</v>
      </c>
      <c r="I15" s="23">
        <f t="shared" si="3"/>
        <v>560.66</v>
      </c>
      <c r="K15" s="182" t="s">
        <v>159</v>
      </c>
      <c r="L15" s="182" t="s">
        <v>166</v>
      </c>
      <c r="M15" s="183" t="s">
        <v>146</v>
      </c>
    </row>
    <row r="16" spans="1:14" ht="20.100000000000001" customHeight="1">
      <c r="A16" s="27">
        <v>41675</v>
      </c>
      <c r="B16" s="28" t="s">
        <v>158</v>
      </c>
      <c r="C16" s="28" t="s">
        <v>154</v>
      </c>
      <c r="D16" s="28">
        <v>188</v>
      </c>
      <c r="E16" s="29">
        <v>672</v>
      </c>
      <c r="F16" s="24">
        <f t="shared" si="0"/>
        <v>126336</v>
      </c>
      <c r="G16" s="23">
        <f t="shared" si="1"/>
        <v>3790.08</v>
      </c>
      <c r="H16" s="23">
        <f t="shared" si="2"/>
        <v>122545.92</v>
      </c>
      <c r="I16" s="23">
        <f t="shared" si="3"/>
        <v>651.84</v>
      </c>
      <c r="K16" s="39" t="s">
        <v>154</v>
      </c>
      <c r="L16" s="40">
        <f>SUMIF(C:C,K16,D:D)</f>
        <v>960</v>
      </c>
      <c r="M16" s="102">
        <f>SUMIF(C:C,K16,F:F)</f>
        <v>684598.8</v>
      </c>
    </row>
    <row r="17" spans="1:12" ht="20.100000000000001" customHeight="1">
      <c r="A17" s="27">
        <v>41275</v>
      </c>
      <c r="B17" s="28" t="s">
        <v>153</v>
      </c>
      <c r="C17" s="28" t="s">
        <v>154</v>
      </c>
      <c r="D17" s="28">
        <v>2</v>
      </c>
      <c r="E17" s="29">
        <v>324</v>
      </c>
      <c r="F17" s="24">
        <f t="shared" si="0"/>
        <v>648</v>
      </c>
      <c r="G17" s="23">
        <f t="shared" si="1"/>
        <v>19.439999999999998</v>
      </c>
      <c r="H17" s="23">
        <f t="shared" si="2"/>
        <v>628.55999999999995</v>
      </c>
      <c r="I17" s="23">
        <f t="shared" si="3"/>
        <v>314.27999999999997</v>
      </c>
      <c r="L17" s="20"/>
    </row>
    <row r="18" spans="1:12" ht="20.100000000000001" customHeight="1">
      <c r="A18" s="27">
        <v>41275</v>
      </c>
      <c r="B18" s="28" t="s">
        <v>156</v>
      </c>
      <c r="C18" s="28" t="s">
        <v>163</v>
      </c>
      <c r="D18" s="28">
        <v>108</v>
      </c>
      <c r="E18" s="29">
        <v>791</v>
      </c>
      <c r="F18" s="24">
        <f t="shared" si="0"/>
        <v>85428</v>
      </c>
      <c r="G18" s="23">
        <f t="shared" si="1"/>
        <v>2562.8399999999997</v>
      </c>
      <c r="H18" s="23">
        <f t="shared" si="2"/>
        <v>82865.16</v>
      </c>
      <c r="I18" s="23">
        <f t="shared" si="3"/>
        <v>767.27</v>
      </c>
      <c r="L18" s="20"/>
    </row>
    <row r="19" spans="1:12" ht="20.100000000000001" customHeight="1">
      <c r="A19" s="27">
        <v>41282</v>
      </c>
      <c r="B19" s="28" t="s">
        <v>153</v>
      </c>
      <c r="C19" s="28" t="s">
        <v>154</v>
      </c>
      <c r="D19" s="28">
        <v>244</v>
      </c>
      <c r="E19" s="29">
        <v>856</v>
      </c>
      <c r="F19" s="24">
        <f t="shared" si="0"/>
        <v>208864</v>
      </c>
      <c r="G19" s="23">
        <f t="shared" si="1"/>
        <v>6265.92</v>
      </c>
      <c r="H19" s="23">
        <f t="shared" si="2"/>
        <v>202598.08</v>
      </c>
      <c r="I19" s="23">
        <f t="shared" si="3"/>
        <v>830.31999999999994</v>
      </c>
      <c r="L19" s="20"/>
    </row>
    <row r="20" spans="1:12" ht="20.100000000000001" customHeight="1">
      <c r="A20" s="27">
        <v>41282</v>
      </c>
      <c r="B20" s="28" t="s">
        <v>155</v>
      </c>
      <c r="C20" s="28" t="s">
        <v>154</v>
      </c>
      <c r="D20" s="28">
        <v>100</v>
      </c>
      <c r="E20" s="29">
        <v>894</v>
      </c>
      <c r="F20" s="24">
        <f t="shared" si="0"/>
        <v>89400</v>
      </c>
      <c r="G20" s="23">
        <f t="shared" si="1"/>
        <v>2682</v>
      </c>
      <c r="H20" s="23">
        <f t="shared" si="2"/>
        <v>86718</v>
      </c>
      <c r="I20" s="23">
        <f t="shared" si="3"/>
        <v>867.18</v>
      </c>
      <c r="L20" s="20"/>
    </row>
    <row r="21" spans="1:12" ht="20.100000000000001" customHeight="1">
      <c r="E21" s="41"/>
    </row>
  </sheetData>
  <autoFilter ref="A1:I20"/>
  <dataValidations count="1">
    <dataValidation type="list" allowBlank="1" showInputMessage="1" showErrorMessage="1" sqref="K16">
      <formula1>$K$7:$K$11</formula1>
    </dataValidation>
  </dataValidation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showGridLines="0" topLeftCell="B1" zoomScale="70" zoomScaleNormal="70" workbookViewId="0">
      <selection activeCell="J6" sqref="J6"/>
    </sheetView>
  </sheetViews>
  <sheetFormatPr defaultColWidth="9.125" defaultRowHeight="20.100000000000001" customHeight="1"/>
  <cols>
    <col min="1" max="1" width="14" style="20" bestFit="1" customWidth="1"/>
    <col min="2" max="2" width="13.625" style="20" bestFit="1" customWidth="1"/>
    <col min="3" max="3" width="13.75" style="20" bestFit="1" customWidth="1"/>
    <col min="4" max="4" width="14.75" style="20" bestFit="1" customWidth="1"/>
    <col min="5" max="5" width="15.375" style="20" bestFit="1" customWidth="1"/>
    <col min="6" max="6" width="20.375" style="20" bestFit="1" customWidth="1"/>
    <col min="7" max="7" width="17.625" style="20" bestFit="1" customWidth="1"/>
    <col min="8" max="8" width="19.375" style="20" bestFit="1" customWidth="1"/>
    <col min="9" max="9" width="26.875" style="20" bestFit="1" customWidth="1"/>
    <col min="10" max="10" width="9.125" style="20"/>
    <col min="11" max="11" width="33.25" style="20" bestFit="1" customWidth="1"/>
    <col min="12" max="12" width="22.25" style="1" bestFit="1" customWidth="1"/>
    <col min="13" max="13" width="20" style="20" bestFit="1" customWidth="1"/>
    <col min="14" max="14" width="24.625" style="20" bestFit="1" customWidth="1"/>
    <col min="15" max="16384" width="9.125" style="20"/>
  </cols>
  <sheetData>
    <row r="1" spans="1:12" ht="84.75" customHeight="1" thickBot="1"/>
    <row r="2" spans="1:12" ht="20.100000000000001" customHeight="1" thickBot="1">
      <c r="A2" s="43" t="s">
        <v>19</v>
      </c>
      <c r="B2" s="47" t="s">
        <v>142</v>
      </c>
      <c r="C2" s="47" t="s">
        <v>143</v>
      </c>
      <c r="D2" s="47" t="s">
        <v>144</v>
      </c>
      <c r="E2" s="47" t="s">
        <v>145</v>
      </c>
      <c r="F2" s="47" t="s">
        <v>167</v>
      </c>
      <c r="G2" s="47" t="s">
        <v>147</v>
      </c>
      <c r="H2" s="47" t="s">
        <v>148</v>
      </c>
      <c r="I2" s="47" t="s">
        <v>149</v>
      </c>
      <c r="L2" s="31"/>
    </row>
    <row r="3" spans="1:12" ht="20.100000000000001" customHeight="1">
      <c r="A3" s="21">
        <v>41646</v>
      </c>
      <c r="B3" s="22" t="s">
        <v>153</v>
      </c>
      <c r="C3" s="22" t="s">
        <v>154</v>
      </c>
      <c r="D3" s="22">
        <v>24</v>
      </c>
      <c r="E3" s="23">
        <v>184.2</v>
      </c>
      <c r="F3" s="24">
        <f t="shared" ref="F3:F21" si="0">E3*D3</f>
        <v>4420.7999999999993</v>
      </c>
      <c r="G3" s="23">
        <f>+F3*3%</f>
        <v>132.62399999999997</v>
      </c>
      <c r="H3" s="23">
        <f>+G3+F3</f>
        <v>4553.4239999999991</v>
      </c>
      <c r="I3" s="23">
        <f>H3/D3</f>
        <v>189.72599999999997</v>
      </c>
      <c r="K3" s="44" t="s">
        <v>168</v>
      </c>
      <c r="L3" s="51">
        <f>MAX(F:F)</f>
        <v>208864</v>
      </c>
    </row>
    <row r="4" spans="1:12" ht="20.100000000000001" customHeight="1" thickBot="1">
      <c r="A4" s="27">
        <v>41302</v>
      </c>
      <c r="B4" s="28" t="s">
        <v>155</v>
      </c>
      <c r="C4" s="28" t="s">
        <v>154</v>
      </c>
      <c r="D4" s="28">
        <v>30</v>
      </c>
      <c r="E4" s="29">
        <v>503</v>
      </c>
      <c r="F4" s="24">
        <f t="shared" si="0"/>
        <v>15090</v>
      </c>
      <c r="G4" s="23">
        <f t="shared" ref="G4:G21" si="1">+F4*3%</f>
        <v>452.7</v>
      </c>
      <c r="H4" s="23">
        <f t="shared" ref="H4:H21" si="2">+G4+F4</f>
        <v>15542.7</v>
      </c>
      <c r="I4" s="23">
        <f t="shared" ref="I4:I21" si="3">H4/D4</f>
        <v>518.09</v>
      </c>
      <c r="K4" s="44" t="s">
        <v>169</v>
      </c>
      <c r="L4" s="52">
        <f>MIN(F:F)</f>
        <v>648</v>
      </c>
    </row>
    <row r="5" spans="1:12" ht="20.100000000000001" customHeight="1" thickBot="1">
      <c r="A5" s="27">
        <v>41408</v>
      </c>
      <c r="B5" s="28" t="s">
        <v>156</v>
      </c>
      <c r="C5" s="28" t="s">
        <v>157</v>
      </c>
      <c r="D5" s="28">
        <v>36</v>
      </c>
      <c r="E5" s="29">
        <v>255</v>
      </c>
      <c r="F5" s="24">
        <f t="shared" si="0"/>
        <v>9180</v>
      </c>
      <c r="G5" s="23">
        <f t="shared" si="1"/>
        <v>275.39999999999998</v>
      </c>
      <c r="H5" s="23">
        <f t="shared" si="2"/>
        <v>9455.4</v>
      </c>
      <c r="I5" s="23">
        <f t="shared" si="3"/>
        <v>262.64999999999998</v>
      </c>
      <c r="L5" s="31"/>
    </row>
    <row r="6" spans="1:12" ht="20.100000000000001" customHeight="1">
      <c r="A6" s="27">
        <v>41513</v>
      </c>
      <c r="B6" s="28" t="s">
        <v>155</v>
      </c>
      <c r="C6" s="28" t="s">
        <v>157</v>
      </c>
      <c r="D6" s="28">
        <v>74</v>
      </c>
      <c r="E6" s="29">
        <v>156</v>
      </c>
      <c r="F6" s="24">
        <f t="shared" si="0"/>
        <v>11544</v>
      </c>
      <c r="G6" s="23">
        <f t="shared" si="1"/>
        <v>346.32</v>
      </c>
      <c r="H6" s="23">
        <f t="shared" si="2"/>
        <v>11890.32</v>
      </c>
      <c r="I6" s="23">
        <f t="shared" si="3"/>
        <v>160.68</v>
      </c>
      <c r="K6" s="44" t="s">
        <v>170</v>
      </c>
      <c r="L6" s="45">
        <f>MAX(G:G)</f>
        <v>6265.92</v>
      </c>
    </row>
    <row r="7" spans="1:12" ht="20.100000000000001" customHeight="1" thickBot="1">
      <c r="A7" s="27">
        <v>41597</v>
      </c>
      <c r="B7" s="28" t="s">
        <v>158</v>
      </c>
      <c r="C7" s="28" t="s">
        <v>154</v>
      </c>
      <c r="D7" s="28">
        <v>10</v>
      </c>
      <c r="E7" s="29">
        <v>708</v>
      </c>
      <c r="F7" s="24">
        <f t="shared" si="0"/>
        <v>7080</v>
      </c>
      <c r="G7" s="23">
        <f t="shared" si="1"/>
        <v>212.4</v>
      </c>
      <c r="H7" s="23">
        <f t="shared" si="2"/>
        <v>7292.4</v>
      </c>
      <c r="I7" s="23">
        <f t="shared" si="3"/>
        <v>729.24</v>
      </c>
      <c r="K7" s="44" t="s">
        <v>171</v>
      </c>
      <c r="L7" s="46">
        <f>MIN(G:G)</f>
        <v>19.439999999999998</v>
      </c>
    </row>
    <row r="8" spans="1:12" ht="20.100000000000001" customHeight="1" thickBot="1">
      <c r="A8" s="27">
        <v>41833</v>
      </c>
      <c r="B8" s="28" t="s">
        <v>158</v>
      </c>
      <c r="C8" s="28" t="s">
        <v>162</v>
      </c>
      <c r="D8" s="28">
        <v>38</v>
      </c>
      <c r="E8" s="29">
        <v>559</v>
      </c>
      <c r="F8" s="24">
        <f t="shared" si="0"/>
        <v>21242</v>
      </c>
      <c r="G8" s="23">
        <f t="shared" si="1"/>
        <v>637.26</v>
      </c>
      <c r="H8" s="23">
        <f t="shared" si="2"/>
        <v>21879.26</v>
      </c>
      <c r="I8" s="23">
        <f t="shared" si="3"/>
        <v>575.77</v>
      </c>
    </row>
    <row r="9" spans="1:12" ht="20.100000000000001" customHeight="1">
      <c r="A9" s="27">
        <v>41982</v>
      </c>
      <c r="B9" s="28" t="s">
        <v>155</v>
      </c>
      <c r="C9" s="28" t="s">
        <v>163</v>
      </c>
      <c r="D9" s="28">
        <v>90</v>
      </c>
      <c r="E9" s="29">
        <v>981</v>
      </c>
      <c r="F9" s="24">
        <f t="shared" si="0"/>
        <v>88290</v>
      </c>
      <c r="G9" s="23">
        <f t="shared" si="1"/>
        <v>2648.7</v>
      </c>
      <c r="H9" s="23">
        <f t="shared" si="2"/>
        <v>90938.7</v>
      </c>
      <c r="I9" s="23">
        <f t="shared" si="3"/>
        <v>1010.43</v>
      </c>
      <c r="K9" s="44" t="s">
        <v>172</v>
      </c>
      <c r="L9" s="45">
        <f>MAX(D:D)</f>
        <v>244</v>
      </c>
    </row>
    <row r="10" spans="1:12" ht="20.100000000000001" customHeight="1" thickBot="1">
      <c r="A10" s="27">
        <v>41125</v>
      </c>
      <c r="B10" s="28" t="s">
        <v>156</v>
      </c>
      <c r="C10" s="28" t="s">
        <v>163</v>
      </c>
      <c r="D10" s="28">
        <v>46</v>
      </c>
      <c r="E10" s="29">
        <v>779</v>
      </c>
      <c r="F10" s="24">
        <f t="shared" si="0"/>
        <v>35834</v>
      </c>
      <c r="G10" s="23">
        <f t="shared" si="1"/>
        <v>1075.02</v>
      </c>
      <c r="H10" s="23">
        <f t="shared" si="2"/>
        <v>36909.019999999997</v>
      </c>
      <c r="I10" s="23">
        <f t="shared" si="3"/>
        <v>802.36999999999989</v>
      </c>
      <c r="K10" s="44" t="s">
        <v>173</v>
      </c>
      <c r="L10" s="46">
        <f>MIN(D:D)</f>
        <v>2</v>
      </c>
    </row>
    <row r="11" spans="1:12" ht="20.100000000000001" customHeight="1">
      <c r="A11" s="27">
        <v>41651</v>
      </c>
      <c r="B11" s="28" t="s">
        <v>164</v>
      </c>
      <c r="C11" s="28" t="s">
        <v>162</v>
      </c>
      <c r="D11" s="28">
        <v>70</v>
      </c>
      <c r="E11" s="29">
        <v>199</v>
      </c>
      <c r="F11" s="24">
        <f t="shared" si="0"/>
        <v>13930</v>
      </c>
      <c r="G11" s="23">
        <f t="shared" si="1"/>
        <v>417.9</v>
      </c>
      <c r="H11" s="23">
        <f t="shared" si="2"/>
        <v>14347.9</v>
      </c>
      <c r="I11" s="23">
        <f t="shared" si="3"/>
        <v>204.97</v>
      </c>
    </row>
    <row r="12" spans="1:12" ht="20.100000000000001" customHeight="1" thickBot="1">
      <c r="A12" s="27">
        <v>41159</v>
      </c>
      <c r="B12" s="28" t="s">
        <v>153</v>
      </c>
      <c r="C12" s="28" t="s">
        <v>157</v>
      </c>
      <c r="D12" s="28">
        <v>188</v>
      </c>
      <c r="E12" s="29">
        <v>212</v>
      </c>
      <c r="F12" s="24">
        <f t="shared" si="0"/>
        <v>39856</v>
      </c>
      <c r="G12" s="23">
        <f t="shared" si="1"/>
        <v>1195.68</v>
      </c>
      <c r="H12" s="23">
        <f t="shared" si="2"/>
        <v>41051.68</v>
      </c>
      <c r="I12" s="23">
        <f t="shared" si="3"/>
        <v>218.36</v>
      </c>
    </row>
    <row r="13" spans="1:12" ht="20.100000000000001" customHeight="1" thickBot="1">
      <c r="A13" s="27">
        <v>41734</v>
      </c>
      <c r="B13" s="28" t="s">
        <v>153</v>
      </c>
      <c r="C13" s="28" t="s">
        <v>157</v>
      </c>
      <c r="D13" s="28">
        <v>156</v>
      </c>
      <c r="E13" s="29">
        <v>715</v>
      </c>
      <c r="F13" s="24">
        <f t="shared" si="0"/>
        <v>111540</v>
      </c>
      <c r="G13" s="23">
        <f t="shared" si="1"/>
        <v>3346.2</v>
      </c>
      <c r="H13" s="23">
        <f t="shared" si="2"/>
        <v>114886.2</v>
      </c>
      <c r="I13" s="23">
        <f t="shared" si="3"/>
        <v>736.44999999999993</v>
      </c>
      <c r="K13" s="47" t="s">
        <v>174</v>
      </c>
      <c r="L13" s="48" t="s">
        <v>175</v>
      </c>
    </row>
    <row r="14" spans="1:12" ht="20.100000000000001" customHeight="1" thickBot="1">
      <c r="A14" s="27">
        <v>41863</v>
      </c>
      <c r="B14" s="28" t="s">
        <v>155</v>
      </c>
      <c r="C14" s="28" t="s">
        <v>154</v>
      </c>
      <c r="D14" s="28">
        <v>240</v>
      </c>
      <c r="E14" s="29">
        <v>855</v>
      </c>
      <c r="F14" s="24">
        <f t="shared" si="0"/>
        <v>205200</v>
      </c>
      <c r="G14" s="23">
        <f t="shared" si="1"/>
        <v>6156</v>
      </c>
      <c r="H14" s="23">
        <f t="shared" si="2"/>
        <v>211356</v>
      </c>
      <c r="I14" s="23">
        <f t="shared" si="3"/>
        <v>880.65</v>
      </c>
      <c r="K14" s="19" t="s">
        <v>145</v>
      </c>
      <c r="L14" s="49">
        <f>AVERAGE(E:E)</f>
        <v>557.58947368421059</v>
      </c>
    </row>
    <row r="15" spans="1:12" ht="20.100000000000001" customHeight="1" thickBot="1">
      <c r="A15" s="27">
        <v>41197</v>
      </c>
      <c r="B15" s="28" t="s">
        <v>158</v>
      </c>
      <c r="C15" s="28" t="s">
        <v>154</v>
      </c>
      <c r="D15" s="28">
        <v>38</v>
      </c>
      <c r="E15" s="29">
        <v>373</v>
      </c>
      <c r="F15" s="24">
        <f t="shared" si="0"/>
        <v>14174</v>
      </c>
      <c r="G15" s="23">
        <f t="shared" si="1"/>
        <v>425.21999999999997</v>
      </c>
      <c r="H15" s="23">
        <f t="shared" si="2"/>
        <v>14599.22</v>
      </c>
      <c r="I15" s="23">
        <f t="shared" si="3"/>
        <v>384.19</v>
      </c>
      <c r="K15" s="19" t="s">
        <v>167</v>
      </c>
      <c r="L15" s="49">
        <f>AVERAGE(F:F)</f>
        <v>57093.305263157898</v>
      </c>
    </row>
    <row r="16" spans="1:12" ht="20.100000000000001" customHeight="1" thickBot="1">
      <c r="A16" s="27">
        <v>41562</v>
      </c>
      <c r="B16" s="28" t="s">
        <v>164</v>
      </c>
      <c r="C16" s="28" t="s">
        <v>162</v>
      </c>
      <c r="D16" s="28">
        <v>50</v>
      </c>
      <c r="E16" s="29">
        <v>578</v>
      </c>
      <c r="F16" s="24">
        <f t="shared" si="0"/>
        <v>28900</v>
      </c>
      <c r="G16" s="23">
        <f t="shared" si="1"/>
        <v>867</v>
      </c>
      <c r="H16" s="23">
        <f t="shared" si="2"/>
        <v>29767</v>
      </c>
      <c r="I16" s="23">
        <f t="shared" si="3"/>
        <v>595.34</v>
      </c>
      <c r="K16" s="19" t="s">
        <v>147</v>
      </c>
      <c r="L16" s="49">
        <f>AVERAGE(G:G)</f>
        <v>1712.7991578947367</v>
      </c>
    </row>
    <row r="17" spans="1:12" ht="20.100000000000001" customHeight="1" thickBot="1">
      <c r="A17" s="27">
        <v>41675</v>
      </c>
      <c r="B17" s="28" t="s">
        <v>158</v>
      </c>
      <c r="C17" s="28" t="s">
        <v>154</v>
      </c>
      <c r="D17" s="28">
        <v>188</v>
      </c>
      <c r="E17" s="29">
        <v>672</v>
      </c>
      <c r="F17" s="24">
        <f t="shared" si="0"/>
        <v>126336</v>
      </c>
      <c r="G17" s="23">
        <f t="shared" si="1"/>
        <v>3790.08</v>
      </c>
      <c r="H17" s="23">
        <f t="shared" si="2"/>
        <v>130126.08</v>
      </c>
      <c r="I17" s="23">
        <f t="shared" si="3"/>
        <v>692.16</v>
      </c>
      <c r="K17" s="19" t="s">
        <v>148</v>
      </c>
      <c r="L17" s="49">
        <f>AVERAGE(H:H)</f>
        <v>58806.104421052616</v>
      </c>
    </row>
    <row r="18" spans="1:12" ht="20.100000000000001" customHeight="1" thickBot="1">
      <c r="A18" s="27">
        <v>41275</v>
      </c>
      <c r="B18" s="28" t="s">
        <v>153</v>
      </c>
      <c r="C18" s="28" t="s">
        <v>154</v>
      </c>
      <c r="D18" s="28">
        <v>2</v>
      </c>
      <c r="E18" s="29">
        <v>324</v>
      </c>
      <c r="F18" s="24">
        <f t="shared" si="0"/>
        <v>648</v>
      </c>
      <c r="G18" s="23">
        <f t="shared" si="1"/>
        <v>19.439999999999998</v>
      </c>
      <c r="H18" s="23">
        <f t="shared" si="2"/>
        <v>667.44</v>
      </c>
      <c r="I18" s="23">
        <f t="shared" si="3"/>
        <v>333.72</v>
      </c>
      <c r="K18" s="19" t="s">
        <v>149</v>
      </c>
      <c r="L18" s="50">
        <f>AVERAGE(I:I)</f>
        <v>574.31715789473674</v>
      </c>
    </row>
    <row r="19" spans="1:12" ht="20.100000000000001" customHeight="1">
      <c r="A19" s="27">
        <v>41275</v>
      </c>
      <c r="B19" s="28" t="s">
        <v>156</v>
      </c>
      <c r="C19" s="28" t="s">
        <v>163</v>
      </c>
      <c r="D19" s="28">
        <v>108</v>
      </c>
      <c r="E19" s="29">
        <v>791</v>
      </c>
      <c r="F19" s="24">
        <f t="shared" si="0"/>
        <v>85428</v>
      </c>
      <c r="G19" s="23">
        <f t="shared" si="1"/>
        <v>2562.8399999999997</v>
      </c>
      <c r="H19" s="23">
        <f t="shared" si="2"/>
        <v>87990.84</v>
      </c>
      <c r="I19" s="23">
        <f t="shared" si="3"/>
        <v>814.73</v>
      </c>
    </row>
    <row r="20" spans="1:12" ht="20.100000000000001" customHeight="1">
      <c r="A20" s="27">
        <v>41282</v>
      </c>
      <c r="B20" s="28" t="s">
        <v>153</v>
      </c>
      <c r="C20" s="28" t="s">
        <v>154</v>
      </c>
      <c r="D20" s="28">
        <v>244</v>
      </c>
      <c r="E20" s="29">
        <v>856</v>
      </c>
      <c r="F20" s="24">
        <f t="shared" si="0"/>
        <v>208864</v>
      </c>
      <c r="G20" s="23">
        <f t="shared" si="1"/>
        <v>6265.92</v>
      </c>
      <c r="H20" s="23">
        <f t="shared" si="2"/>
        <v>215129.92</v>
      </c>
      <c r="I20" s="23">
        <f t="shared" si="3"/>
        <v>881.68000000000006</v>
      </c>
    </row>
    <row r="21" spans="1:12" ht="20.100000000000001" customHeight="1">
      <c r="A21" s="27">
        <v>41282</v>
      </c>
      <c r="B21" s="28" t="s">
        <v>155</v>
      </c>
      <c r="C21" s="28" t="s">
        <v>154</v>
      </c>
      <c r="D21" s="28">
        <v>64</v>
      </c>
      <c r="E21" s="29">
        <v>894</v>
      </c>
      <c r="F21" s="24">
        <f t="shared" si="0"/>
        <v>57216</v>
      </c>
      <c r="G21" s="23">
        <f t="shared" si="1"/>
        <v>1716.48</v>
      </c>
      <c r="H21" s="23">
        <f t="shared" si="2"/>
        <v>58932.480000000003</v>
      </c>
      <c r="I21" s="23">
        <f t="shared" si="3"/>
        <v>920.82</v>
      </c>
    </row>
    <row r="22" spans="1:12" ht="20.100000000000001" customHeight="1">
      <c r="K22" s="1"/>
    </row>
    <row r="23" spans="1:12" ht="20.100000000000001" customHeight="1">
      <c r="K23" s="1"/>
    </row>
  </sheetData>
  <autoFilter ref="A2:F21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zoomScale="50" zoomScaleNormal="50" workbookViewId="0">
      <selection activeCell="D14" sqref="D14"/>
    </sheetView>
  </sheetViews>
  <sheetFormatPr defaultRowHeight="20.25"/>
  <cols>
    <col min="1" max="1" width="18.75" customWidth="1"/>
    <col min="2" max="2" width="20.625" style="53" bestFit="1" customWidth="1"/>
    <col min="3" max="3" width="21.125" style="57" bestFit="1" customWidth="1"/>
    <col min="4" max="4" width="24.75" style="53" customWidth="1"/>
    <col min="5" max="5" width="29.375" customWidth="1"/>
    <col min="6" max="6" width="20.625" bestFit="1" customWidth="1"/>
    <col min="7" max="7" width="18" bestFit="1" customWidth="1"/>
    <col min="8" max="8" width="16.25" bestFit="1" customWidth="1"/>
    <col min="9" max="9" width="19" customWidth="1"/>
  </cols>
  <sheetData>
    <row r="1" spans="1:9">
      <c r="A1" s="103"/>
      <c r="B1" s="104"/>
      <c r="C1" s="105"/>
      <c r="D1" s="104"/>
      <c r="E1" s="103"/>
      <c r="F1" s="103"/>
      <c r="G1" s="103"/>
      <c r="H1" s="106"/>
      <c r="I1" s="103"/>
    </row>
    <row r="2" spans="1:9">
      <c r="A2" s="103"/>
      <c r="B2" s="104"/>
      <c r="C2" s="107" t="s">
        <v>179</v>
      </c>
      <c r="D2" s="104"/>
      <c r="E2" s="103"/>
      <c r="F2" s="103"/>
      <c r="G2" s="103" t="s">
        <v>180</v>
      </c>
      <c r="H2" s="103"/>
      <c r="I2" s="103"/>
    </row>
    <row r="3" spans="1:9">
      <c r="A3" s="166" t="s">
        <v>181</v>
      </c>
      <c r="B3" s="108" t="s">
        <v>176</v>
      </c>
      <c r="C3" s="109" t="s">
        <v>182</v>
      </c>
      <c r="D3" s="108" t="s">
        <v>178</v>
      </c>
      <c r="E3" s="103"/>
      <c r="F3" s="108" t="s">
        <v>176</v>
      </c>
      <c r="G3" s="108" t="s">
        <v>177</v>
      </c>
      <c r="H3" s="108" t="s">
        <v>178</v>
      </c>
      <c r="I3" s="166" t="s">
        <v>183</v>
      </c>
    </row>
    <row r="4" spans="1:9">
      <c r="A4" s="166"/>
      <c r="B4" s="110">
        <v>17000</v>
      </c>
      <c r="C4" s="111">
        <v>0.16900000000000001</v>
      </c>
      <c r="D4" s="110">
        <f>B4*C4</f>
        <v>2873</v>
      </c>
      <c r="E4" s="112"/>
      <c r="F4" s="110">
        <v>15600</v>
      </c>
      <c r="G4" s="110">
        <v>1300</v>
      </c>
      <c r="H4" s="113">
        <f>G4/F4</f>
        <v>8.3333333333333329E-2</v>
      </c>
      <c r="I4" s="166"/>
    </row>
    <row r="5" spans="1:9">
      <c r="A5" s="103"/>
      <c r="B5" s="104"/>
      <c r="C5" s="105"/>
      <c r="D5" s="104"/>
      <c r="E5" s="103"/>
      <c r="F5" s="103"/>
      <c r="G5" s="103"/>
      <c r="H5" s="103"/>
      <c r="I5" s="103"/>
    </row>
    <row r="6" spans="1:9" ht="22.5">
      <c r="A6" s="166" t="s">
        <v>190</v>
      </c>
      <c r="B6" s="108" t="s">
        <v>176</v>
      </c>
      <c r="C6" s="109" t="s">
        <v>184</v>
      </c>
      <c r="D6" s="108" t="s">
        <v>178</v>
      </c>
      <c r="E6" s="103" t="s">
        <v>185</v>
      </c>
      <c r="F6" s="114"/>
      <c r="G6" s="103"/>
      <c r="H6" s="115"/>
      <c r="I6" s="103"/>
    </row>
    <row r="7" spans="1:9" ht="33">
      <c r="A7" s="166"/>
      <c r="B7" s="110">
        <v>600</v>
      </c>
      <c r="C7" s="116">
        <v>7.0000000000000007E-2</v>
      </c>
      <c r="D7" s="110">
        <f>(B7*C7)+B7</f>
        <v>642</v>
      </c>
      <c r="E7" s="117"/>
      <c r="F7" s="103"/>
      <c r="G7" s="118"/>
      <c r="H7" s="103"/>
      <c r="I7" s="103"/>
    </row>
    <row r="8" spans="1:9" ht="22.5">
      <c r="A8" s="103"/>
      <c r="B8" s="104"/>
      <c r="C8" s="105"/>
      <c r="D8" s="104"/>
      <c r="E8" s="103"/>
      <c r="F8" s="103"/>
      <c r="G8" s="115"/>
      <c r="H8" s="103"/>
      <c r="I8" s="103"/>
    </row>
    <row r="9" spans="1:9">
      <c r="A9" s="166" t="s">
        <v>191</v>
      </c>
      <c r="B9" s="108" t="s">
        <v>176</v>
      </c>
      <c r="C9" s="109" t="s">
        <v>186</v>
      </c>
      <c r="D9" s="108" t="s">
        <v>178</v>
      </c>
      <c r="E9" s="103" t="s">
        <v>185</v>
      </c>
      <c r="F9" s="103"/>
      <c r="G9" s="103"/>
      <c r="H9" s="103"/>
      <c r="I9" s="103"/>
    </row>
    <row r="10" spans="1:9">
      <c r="A10" s="166"/>
      <c r="B10" s="110">
        <v>2500</v>
      </c>
      <c r="C10" s="116">
        <v>0.15</v>
      </c>
      <c r="D10" s="110">
        <f>(B10*C10)-B10</f>
        <v>-2125</v>
      </c>
      <c r="E10" s="103"/>
      <c r="F10" s="103"/>
      <c r="G10" s="103"/>
      <c r="H10" s="103"/>
      <c r="I10" s="103"/>
    </row>
    <row r="11" spans="1:9">
      <c r="A11" s="103"/>
      <c r="B11" s="104"/>
      <c r="C11" s="105"/>
      <c r="D11" s="104"/>
      <c r="E11" s="103"/>
      <c r="F11" s="103"/>
      <c r="G11" s="103"/>
      <c r="H11" s="103"/>
      <c r="I11" s="103"/>
    </row>
    <row r="12" spans="1:9">
      <c r="A12" s="103"/>
      <c r="B12" s="104" t="s">
        <v>193</v>
      </c>
      <c r="C12" s="105"/>
      <c r="D12" s="104"/>
      <c r="E12" s="103"/>
      <c r="F12" s="103"/>
      <c r="G12" s="103"/>
      <c r="H12" s="103"/>
      <c r="I12" s="103"/>
    </row>
    <row r="13" spans="1:9">
      <c r="A13" s="166" t="s">
        <v>187</v>
      </c>
      <c r="B13" s="108" t="s">
        <v>188</v>
      </c>
      <c r="C13" s="109" t="s">
        <v>189</v>
      </c>
      <c r="D13" s="108" t="s">
        <v>178</v>
      </c>
      <c r="E13" s="103" t="s">
        <v>192</v>
      </c>
      <c r="F13" s="103"/>
      <c r="G13" s="103"/>
      <c r="H13" s="103"/>
      <c r="I13" s="103"/>
    </row>
    <row r="14" spans="1:9">
      <c r="A14" s="166"/>
      <c r="B14" s="110">
        <v>12000</v>
      </c>
      <c r="C14" s="119">
        <v>20000</v>
      </c>
      <c r="D14" s="120">
        <f>(C14/B14) - 100%</f>
        <v>0.66666666666666674</v>
      </c>
      <c r="E14" s="121"/>
      <c r="F14" s="103"/>
      <c r="G14" s="103"/>
      <c r="H14" s="103"/>
      <c r="I14" s="103"/>
    </row>
    <row r="15" spans="1:9">
      <c r="C15" s="54"/>
      <c r="D15" s="55"/>
    </row>
    <row r="16" spans="1:9">
      <c r="C16" s="56"/>
      <c r="D16" s="55"/>
    </row>
  </sheetData>
  <mergeCells count="5">
    <mergeCell ref="A3:A4"/>
    <mergeCell ref="I3:I4"/>
    <mergeCell ref="A6:A7"/>
    <mergeCell ref="A9:A10"/>
    <mergeCell ref="A13:A14"/>
  </mergeCells>
  <conditionalFormatting sqref="D14">
    <cfRule type="cellIs" dxfId="4" priority="1" operator="lessThan">
      <formula>0</formula>
    </cfRule>
    <cfRule type="cellIs" dxfId="3" priority="2" operator="greaterThan">
      <formula>0</formula>
    </cfRule>
    <cfRule type="cellIs" dxfId="2" priority="3" operator="equal">
      <formula>0</formula>
    </cfRule>
    <cfRule type="cellIs" dxfId="1" priority="4" operator="lessThan">
      <formula>0</formula>
    </cfRule>
    <cfRule type="cellIs" dxfId="0" priority="5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showGridLines="0" topLeftCell="A25" zoomScale="85" zoomScaleNormal="85" workbookViewId="0">
      <selection activeCell="E51" sqref="E51"/>
    </sheetView>
  </sheetViews>
  <sheetFormatPr defaultRowHeight="14.25"/>
  <cols>
    <col min="1" max="1" width="10.375" bestFit="1" customWidth="1"/>
    <col min="2" max="2" width="14.375" bestFit="1" customWidth="1"/>
    <col min="3" max="3" width="11.125" bestFit="1" customWidth="1"/>
    <col min="4" max="4" width="13.25" bestFit="1" customWidth="1"/>
    <col min="5" max="5" width="11.125" bestFit="1" customWidth="1"/>
    <col min="6" max="6" width="12.125" bestFit="1" customWidth="1"/>
    <col min="7" max="7" width="11.125" bestFit="1" customWidth="1"/>
    <col min="9" max="9" width="28.125" style="58" bestFit="1" customWidth="1"/>
  </cols>
  <sheetData>
    <row r="1" spans="1:15" ht="15" thickBot="1">
      <c r="A1" s="103"/>
      <c r="B1" s="103"/>
      <c r="C1" s="103"/>
      <c r="D1" s="103"/>
      <c r="E1" s="103"/>
      <c r="F1" s="103"/>
      <c r="G1" s="103"/>
      <c r="H1" s="103"/>
      <c r="I1" s="122"/>
      <c r="J1" s="103"/>
      <c r="K1" s="103"/>
      <c r="L1" s="103"/>
      <c r="M1" s="158"/>
    </row>
    <row r="2" spans="1:15" ht="46.5" customHeight="1">
      <c r="A2" s="103"/>
      <c r="B2" s="103"/>
      <c r="C2" s="103"/>
      <c r="D2" s="103"/>
      <c r="E2" s="103"/>
      <c r="F2" s="103"/>
      <c r="G2" s="167" t="s">
        <v>266</v>
      </c>
      <c r="H2" s="168"/>
      <c r="I2" s="168"/>
      <c r="J2" s="168"/>
      <c r="K2" s="168"/>
      <c r="L2" s="169"/>
      <c r="M2" s="158"/>
    </row>
    <row r="3" spans="1:15" ht="15" thickBot="1">
      <c r="A3" s="103"/>
      <c r="B3" s="103"/>
      <c r="C3" s="103"/>
      <c r="D3" s="103"/>
      <c r="E3" s="103"/>
      <c r="F3" s="103"/>
      <c r="G3" s="170"/>
      <c r="H3" s="171"/>
      <c r="I3" s="171"/>
      <c r="J3" s="171"/>
      <c r="K3" s="171"/>
      <c r="L3" s="172"/>
      <c r="M3" s="158"/>
    </row>
    <row r="4" spans="1:15" ht="17.25" customHeight="1" thickBot="1">
      <c r="A4" s="103"/>
      <c r="B4" s="103"/>
      <c r="C4" s="103"/>
      <c r="D4" s="103"/>
      <c r="E4" s="103"/>
      <c r="F4" s="103"/>
      <c r="G4" s="103"/>
      <c r="H4" s="103"/>
      <c r="I4" s="123"/>
      <c r="J4" s="103"/>
      <c r="K4" s="103"/>
      <c r="L4" s="103"/>
      <c r="M4" s="158"/>
    </row>
    <row r="5" spans="1:15" ht="15" customHeight="1">
      <c r="A5" s="124" t="s">
        <v>176</v>
      </c>
      <c r="B5" s="125">
        <v>42736</v>
      </c>
      <c r="C5" s="125">
        <v>42767</v>
      </c>
      <c r="D5" s="125">
        <v>42795</v>
      </c>
      <c r="E5" s="125">
        <v>42826</v>
      </c>
      <c r="F5" s="125">
        <v>42856</v>
      </c>
      <c r="G5" s="126">
        <v>42887</v>
      </c>
      <c r="H5" s="103"/>
      <c r="I5" s="127" t="s">
        <v>194</v>
      </c>
      <c r="J5" s="103"/>
      <c r="K5" s="103"/>
      <c r="L5" s="103"/>
      <c r="M5" s="158"/>
    </row>
    <row r="6" spans="1:15">
      <c r="A6" s="128" t="s">
        <v>195</v>
      </c>
      <c r="B6" s="129">
        <v>281</v>
      </c>
      <c r="C6" s="129">
        <v>247</v>
      </c>
      <c r="D6" s="129">
        <v>515</v>
      </c>
      <c r="E6" s="129">
        <v>700</v>
      </c>
      <c r="F6" s="129">
        <v>358</v>
      </c>
      <c r="G6" s="130">
        <v>71</v>
      </c>
      <c r="H6" s="103"/>
      <c r="I6" s="122"/>
      <c r="J6" s="103"/>
      <c r="K6" s="103"/>
      <c r="L6" s="103"/>
      <c r="M6" s="158"/>
    </row>
    <row r="7" spans="1:15">
      <c r="A7" s="131" t="s">
        <v>196</v>
      </c>
      <c r="B7" s="132">
        <v>457</v>
      </c>
      <c r="C7" s="132">
        <v>254</v>
      </c>
      <c r="D7" s="132">
        <v>809</v>
      </c>
      <c r="E7" s="132">
        <v>16</v>
      </c>
      <c r="F7" s="132">
        <v>930</v>
      </c>
      <c r="G7" s="133">
        <v>10</v>
      </c>
      <c r="H7" s="103"/>
      <c r="I7" s="122"/>
      <c r="J7" s="103"/>
      <c r="K7" s="103"/>
      <c r="L7" s="103"/>
      <c r="M7" s="158"/>
    </row>
    <row r="8" spans="1:15">
      <c r="A8" s="128" t="s">
        <v>197</v>
      </c>
      <c r="B8" s="129">
        <v>301</v>
      </c>
      <c r="C8" s="129">
        <v>576</v>
      </c>
      <c r="D8" s="129">
        <v>746</v>
      </c>
      <c r="E8" s="129">
        <v>58</v>
      </c>
      <c r="F8" s="129">
        <v>419</v>
      </c>
      <c r="G8" s="130">
        <v>68</v>
      </c>
      <c r="H8" s="103"/>
      <c r="I8" s="122"/>
      <c r="J8" s="103"/>
      <c r="K8" s="103"/>
      <c r="L8" s="103"/>
      <c r="M8" s="158"/>
    </row>
    <row r="9" spans="1:15">
      <c r="A9" s="131" t="s">
        <v>198</v>
      </c>
      <c r="B9" s="132">
        <v>88</v>
      </c>
      <c r="C9" s="132">
        <v>751</v>
      </c>
      <c r="D9" s="132">
        <v>738</v>
      </c>
      <c r="E9" s="132">
        <v>604</v>
      </c>
      <c r="F9" s="132">
        <v>282</v>
      </c>
      <c r="G9" s="133">
        <v>256</v>
      </c>
      <c r="H9" s="103"/>
      <c r="I9" s="122"/>
      <c r="J9" s="103"/>
      <c r="K9" s="103"/>
      <c r="L9" s="103"/>
      <c r="M9" s="158"/>
    </row>
    <row r="10" spans="1:15" ht="15" thickBot="1">
      <c r="A10" s="134" t="s">
        <v>199</v>
      </c>
      <c r="B10" s="135">
        <v>505</v>
      </c>
      <c r="C10" s="135">
        <v>848</v>
      </c>
      <c r="D10" s="135">
        <v>307</v>
      </c>
      <c r="E10" s="135">
        <v>559</v>
      </c>
      <c r="F10" s="135">
        <v>537</v>
      </c>
      <c r="G10" s="136">
        <v>687</v>
      </c>
      <c r="H10" s="103"/>
      <c r="I10" s="122"/>
      <c r="J10" s="103"/>
      <c r="K10" s="103"/>
      <c r="L10" s="103"/>
      <c r="M10" s="158"/>
    </row>
    <row r="11" spans="1:15" ht="15" thickBot="1">
      <c r="A11" s="128"/>
      <c r="B11" s="129"/>
      <c r="C11" s="129"/>
      <c r="D11" s="129"/>
      <c r="E11" s="129"/>
      <c r="F11" s="129"/>
      <c r="G11" s="130"/>
      <c r="H11" s="103"/>
      <c r="I11" s="137"/>
      <c r="J11" s="138"/>
      <c r="K11" s="103"/>
      <c r="L11" s="103"/>
      <c r="M11" s="158"/>
    </row>
    <row r="12" spans="1:15" ht="18.75" thickBot="1">
      <c r="A12" s="124" t="s">
        <v>176</v>
      </c>
      <c r="B12" s="125">
        <v>42736</v>
      </c>
      <c r="C12" s="125">
        <v>42767</v>
      </c>
      <c r="D12" s="125">
        <v>42795</v>
      </c>
      <c r="E12" s="125">
        <v>42826</v>
      </c>
      <c r="F12" s="125">
        <v>42856</v>
      </c>
      <c r="G12" s="126">
        <v>42887</v>
      </c>
      <c r="H12" s="103"/>
      <c r="I12" s="139" t="s">
        <v>200</v>
      </c>
      <c r="J12" s="140">
        <v>0.05</v>
      </c>
      <c r="K12" s="103"/>
      <c r="L12" s="103"/>
      <c r="M12" s="158"/>
    </row>
    <row r="13" spans="1:15">
      <c r="A13" s="128" t="s">
        <v>195</v>
      </c>
      <c r="B13" s="129">
        <f>(B6*$J$12)+B6</f>
        <v>295.05</v>
      </c>
      <c r="C13" s="129">
        <f t="shared" ref="C13:G13" si="0">(C6*$J$12)+C6</f>
        <v>259.35000000000002</v>
      </c>
      <c r="D13" s="129">
        <f t="shared" si="0"/>
        <v>540.75</v>
      </c>
      <c r="E13" s="129">
        <f t="shared" si="0"/>
        <v>735</v>
      </c>
      <c r="F13" s="129">
        <f t="shared" si="0"/>
        <v>375.9</v>
      </c>
      <c r="G13" s="129">
        <f t="shared" si="0"/>
        <v>74.55</v>
      </c>
      <c r="H13" s="103"/>
      <c r="I13" s="122"/>
      <c r="J13" s="103"/>
      <c r="K13" s="103"/>
      <c r="L13" s="103"/>
      <c r="M13" s="158"/>
    </row>
    <row r="14" spans="1:15" ht="24.95" customHeight="1">
      <c r="A14" s="131" t="s">
        <v>196</v>
      </c>
      <c r="B14" s="129">
        <f t="shared" ref="B14:G14" si="1">(B7*$J$12)+B7</f>
        <v>479.85</v>
      </c>
      <c r="C14" s="129">
        <f t="shared" si="1"/>
        <v>266.7</v>
      </c>
      <c r="D14" s="129">
        <f t="shared" si="1"/>
        <v>849.45</v>
      </c>
      <c r="E14" s="129">
        <f t="shared" si="1"/>
        <v>16.8</v>
      </c>
      <c r="F14" s="129">
        <f t="shared" si="1"/>
        <v>976.5</v>
      </c>
      <c r="G14" s="129">
        <f t="shared" si="1"/>
        <v>10.5</v>
      </c>
      <c r="H14" s="103"/>
      <c r="I14" s="122"/>
      <c r="J14" s="103"/>
      <c r="K14" s="137"/>
      <c r="L14" s="137"/>
      <c r="M14" s="160"/>
      <c r="N14" s="59"/>
      <c r="O14" s="59"/>
    </row>
    <row r="15" spans="1:15" s="61" customFormat="1" ht="20.100000000000001" customHeight="1">
      <c r="A15" s="128" t="s">
        <v>197</v>
      </c>
      <c r="B15" s="129">
        <f t="shared" ref="B15:G15" si="2">(B8*$J$12)+B8</f>
        <v>316.05</v>
      </c>
      <c r="C15" s="129">
        <f t="shared" si="2"/>
        <v>604.79999999999995</v>
      </c>
      <c r="D15" s="129">
        <f t="shared" si="2"/>
        <v>783.3</v>
      </c>
      <c r="E15" s="129">
        <f t="shared" si="2"/>
        <v>60.9</v>
      </c>
      <c r="F15" s="129">
        <f t="shared" si="2"/>
        <v>439.95</v>
      </c>
      <c r="G15" s="129">
        <f t="shared" si="2"/>
        <v>71.400000000000006</v>
      </c>
      <c r="H15" s="103"/>
      <c r="I15" s="122"/>
      <c r="J15" s="103"/>
      <c r="K15" s="141"/>
      <c r="L15" s="141"/>
      <c r="M15" s="161"/>
      <c r="N15" s="60"/>
      <c r="O15" s="60"/>
    </row>
    <row r="16" spans="1:15" s="61" customFormat="1" ht="20.100000000000001" customHeight="1">
      <c r="A16" s="131" t="s">
        <v>198</v>
      </c>
      <c r="B16" s="129">
        <f t="shared" ref="B16:G16" si="3">(B9*$J$12)+B9</f>
        <v>92.4</v>
      </c>
      <c r="C16" s="129">
        <f t="shared" si="3"/>
        <v>788.55</v>
      </c>
      <c r="D16" s="129">
        <f t="shared" si="3"/>
        <v>774.9</v>
      </c>
      <c r="E16" s="129">
        <f t="shared" si="3"/>
        <v>634.20000000000005</v>
      </c>
      <c r="F16" s="129">
        <f t="shared" si="3"/>
        <v>296.10000000000002</v>
      </c>
      <c r="G16" s="129">
        <f t="shared" si="3"/>
        <v>268.8</v>
      </c>
      <c r="H16" s="103"/>
      <c r="I16" s="122"/>
      <c r="J16" s="103"/>
      <c r="K16" s="141"/>
      <c r="L16" s="141"/>
      <c r="M16" s="161"/>
      <c r="N16" s="60"/>
      <c r="O16" s="60"/>
    </row>
    <row r="17" spans="1:15" s="61" customFormat="1" ht="20.100000000000001" customHeight="1" thickBot="1">
      <c r="A17" s="134" t="s">
        <v>199</v>
      </c>
      <c r="B17" s="129">
        <f t="shared" ref="B17:G17" si="4">(B10*$J$12)+B10</f>
        <v>530.25</v>
      </c>
      <c r="C17" s="129">
        <f t="shared" si="4"/>
        <v>890.4</v>
      </c>
      <c r="D17" s="129">
        <f t="shared" si="4"/>
        <v>322.35000000000002</v>
      </c>
      <c r="E17" s="129">
        <f t="shared" si="4"/>
        <v>586.95000000000005</v>
      </c>
      <c r="F17" s="129">
        <f t="shared" si="4"/>
        <v>563.85</v>
      </c>
      <c r="G17" s="129">
        <f t="shared" si="4"/>
        <v>721.35</v>
      </c>
      <c r="H17" s="103"/>
      <c r="I17" s="122"/>
      <c r="J17" s="103"/>
      <c r="K17" s="141"/>
      <c r="L17" s="141"/>
      <c r="M17" s="161"/>
      <c r="N17" s="60"/>
      <c r="O17" s="60"/>
    </row>
    <row r="18" spans="1:15" s="61" customFormat="1" ht="20.100000000000001" customHeight="1">
      <c r="A18" s="103"/>
      <c r="B18" s="103"/>
      <c r="C18" s="103"/>
      <c r="D18" s="103"/>
      <c r="E18" s="103"/>
      <c r="F18" s="103"/>
      <c r="G18" s="103"/>
      <c r="H18" s="103"/>
      <c r="I18" s="122"/>
      <c r="J18" s="103"/>
      <c r="K18" s="141"/>
      <c r="L18" s="141"/>
      <c r="M18" s="161"/>
      <c r="N18" s="60"/>
      <c r="O18" s="60"/>
    </row>
    <row r="19" spans="1:15" s="61" customFormat="1" ht="20.100000000000001" customHeight="1" thickBot="1">
      <c r="A19" s="103"/>
      <c r="B19" s="103"/>
      <c r="C19" s="103"/>
      <c r="D19" s="103"/>
      <c r="E19" s="103"/>
      <c r="F19" s="103"/>
      <c r="G19" s="103"/>
      <c r="H19" s="103"/>
      <c r="I19" s="122"/>
      <c r="J19" s="103"/>
      <c r="K19" s="141"/>
      <c r="L19" s="141"/>
      <c r="M19" s="161"/>
      <c r="N19" s="60"/>
      <c r="O19" s="60"/>
    </row>
    <row r="20" spans="1:15">
      <c r="A20" s="124" t="s">
        <v>201</v>
      </c>
      <c r="B20" s="125">
        <v>42736</v>
      </c>
      <c r="C20" s="125">
        <v>42767</v>
      </c>
      <c r="D20" s="125">
        <v>42795</v>
      </c>
      <c r="E20" s="125">
        <v>42826</v>
      </c>
      <c r="F20" s="125">
        <v>42856</v>
      </c>
      <c r="G20" s="126">
        <v>42887</v>
      </c>
      <c r="H20" s="137"/>
      <c r="I20" s="137"/>
      <c r="J20" s="137"/>
      <c r="K20" s="103"/>
      <c r="L20" s="103"/>
      <c r="M20" s="158"/>
    </row>
    <row r="21" spans="1:15" ht="24.95" customHeight="1">
      <c r="A21" s="128" t="s">
        <v>195</v>
      </c>
      <c r="B21" s="129">
        <v>281</v>
      </c>
      <c r="C21" s="129">
        <v>247</v>
      </c>
      <c r="D21" s="129">
        <v>515</v>
      </c>
      <c r="E21" s="129">
        <v>700</v>
      </c>
      <c r="F21" s="129">
        <v>358</v>
      </c>
      <c r="G21" s="130">
        <v>71</v>
      </c>
      <c r="H21" s="141"/>
      <c r="I21" s="141"/>
      <c r="J21" s="141"/>
      <c r="K21" s="103"/>
      <c r="L21" s="103"/>
      <c r="M21" s="158"/>
    </row>
    <row r="22" spans="1:15" s="61" customFormat="1" ht="20.100000000000001" customHeight="1">
      <c r="A22" s="131" t="s">
        <v>196</v>
      </c>
      <c r="B22" s="132">
        <v>457</v>
      </c>
      <c r="C22" s="132">
        <v>254</v>
      </c>
      <c r="D22" s="132">
        <v>809</v>
      </c>
      <c r="E22" s="132">
        <v>16</v>
      </c>
      <c r="F22" s="132">
        <v>930</v>
      </c>
      <c r="G22" s="133">
        <v>10</v>
      </c>
      <c r="H22" s="141"/>
      <c r="I22" s="142"/>
      <c r="J22" s="141"/>
      <c r="K22" s="142"/>
      <c r="L22" s="142"/>
      <c r="M22" s="162"/>
    </row>
    <row r="23" spans="1:15" s="61" customFormat="1" ht="20.100000000000001" customHeight="1">
      <c r="A23" s="128" t="s">
        <v>197</v>
      </c>
      <c r="B23" s="129">
        <v>301</v>
      </c>
      <c r="C23" s="129">
        <v>576</v>
      </c>
      <c r="D23" s="129">
        <v>746</v>
      </c>
      <c r="E23" s="129">
        <v>58</v>
      </c>
      <c r="F23" s="129">
        <v>419</v>
      </c>
      <c r="G23" s="130">
        <v>68</v>
      </c>
      <c r="H23" s="141"/>
      <c r="I23" s="142"/>
      <c r="J23" s="141"/>
      <c r="K23" s="142"/>
      <c r="L23" s="142"/>
      <c r="M23" s="162"/>
    </row>
    <row r="24" spans="1:15" s="61" customFormat="1" ht="20.100000000000001" customHeight="1">
      <c r="A24" s="131" t="s">
        <v>198</v>
      </c>
      <c r="B24" s="132">
        <v>88</v>
      </c>
      <c r="C24" s="132">
        <v>751</v>
      </c>
      <c r="D24" s="132">
        <v>738</v>
      </c>
      <c r="E24" s="132">
        <v>604</v>
      </c>
      <c r="F24" s="132">
        <v>282</v>
      </c>
      <c r="G24" s="133">
        <v>256</v>
      </c>
      <c r="H24" s="141"/>
      <c r="I24" s="141"/>
      <c r="J24" s="141"/>
      <c r="K24" s="142"/>
      <c r="L24" s="142"/>
      <c r="M24" s="162"/>
    </row>
    <row r="25" spans="1:15" s="61" customFormat="1" ht="20.100000000000001" customHeight="1" thickBot="1">
      <c r="A25" s="134" t="s">
        <v>199</v>
      </c>
      <c r="B25" s="135">
        <v>505</v>
      </c>
      <c r="C25" s="135">
        <v>848</v>
      </c>
      <c r="D25" s="135">
        <v>307</v>
      </c>
      <c r="E25" s="135">
        <v>559</v>
      </c>
      <c r="F25" s="135">
        <v>537</v>
      </c>
      <c r="G25" s="136">
        <v>687</v>
      </c>
      <c r="H25" s="141"/>
      <c r="I25" s="141"/>
      <c r="J25" s="141"/>
      <c r="K25" s="142"/>
      <c r="L25" s="142"/>
      <c r="M25" s="162"/>
    </row>
    <row r="26" spans="1:15" s="61" customFormat="1" ht="20.100000000000001" customHeight="1" thickBot="1">
      <c r="A26" s="143"/>
      <c r="B26" s="103"/>
      <c r="C26" s="103"/>
      <c r="D26" s="103"/>
      <c r="E26" s="103"/>
      <c r="F26" s="103"/>
      <c r="G26" s="144"/>
      <c r="H26" s="103"/>
      <c r="I26" s="122"/>
      <c r="J26" s="103"/>
      <c r="K26" s="142"/>
      <c r="L26" s="142"/>
      <c r="M26" s="162"/>
    </row>
    <row r="27" spans="1:15" s="61" customFormat="1" ht="20.100000000000001" customHeight="1">
      <c r="A27" s="124" t="s">
        <v>184</v>
      </c>
      <c r="B27" s="125">
        <v>42736</v>
      </c>
      <c r="C27" s="125">
        <v>42767</v>
      </c>
      <c r="D27" s="125">
        <v>42795</v>
      </c>
      <c r="E27" s="125">
        <v>42826</v>
      </c>
      <c r="F27" s="125">
        <v>42856</v>
      </c>
      <c r="G27" s="126">
        <v>42887</v>
      </c>
      <c r="H27" s="103"/>
      <c r="I27" s="122"/>
      <c r="J27" s="103"/>
      <c r="K27" s="142"/>
      <c r="L27" s="142"/>
      <c r="M27" s="162"/>
    </row>
    <row r="28" spans="1:15">
      <c r="A28" s="145" t="s">
        <v>202</v>
      </c>
      <c r="B28" s="146">
        <v>0.2</v>
      </c>
      <c r="C28" s="146">
        <v>0.1</v>
      </c>
      <c r="D28" s="146">
        <v>0.15</v>
      </c>
      <c r="E28" s="146">
        <v>0.2</v>
      </c>
      <c r="F28" s="146">
        <v>0.1</v>
      </c>
      <c r="G28" s="147">
        <v>0.05</v>
      </c>
      <c r="H28" s="142"/>
      <c r="I28" s="148" t="s">
        <v>203</v>
      </c>
      <c r="J28" s="142"/>
      <c r="K28" s="103"/>
      <c r="L28" s="103"/>
      <c r="M28" s="158"/>
    </row>
    <row r="29" spans="1:15">
      <c r="A29" s="128" t="s">
        <v>195</v>
      </c>
      <c r="B29" s="129">
        <f>(B21*B$28)+B21</f>
        <v>337.2</v>
      </c>
      <c r="C29" s="129">
        <f t="shared" ref="C29:F29" si="5">(C21*C$28)+C21</f>
        <v>271.7</v>
      </c>
      <c r="D29" s="129">
        <f t="shared" si="5"/>
        <v>592.25</v>
      </c>
      <c r="E29" s="129">
        <f t="shared" si="5"/>
        <v>840</v>
      </c>
      <c r="F29" s="129">
        <f t="shared" si="5"/>
        <v>393.8</v>
      </c>
      <c r="G29" s="129">
        <f>(G21*G$28)+G21</f>
        <v>74.55</v>
      </c>
      <c r="H29" s="142"/>
      <c r="I29" s="148"/>
      <c r="J29" s="142"/>
      <c r="K29" s="103"/>
      <c r="L29" s="103"/>
      <c r="M29" s="158"/>
    </row>
    <row r="30" spans="1:15">
      <c r="A30" s="131" t="s">
        <v>196</v>
      </c>
      <c r="B30" s="129">
        <f t="shared" ref="B30:G30" si="6">(B22*B$28)+B22</f>
        <v>548.4</v>
      </c>
      <c r="C30" s="129">
        <f t="shared" si="6"/>
        <v>279.39999999999998</v>
      </c>
      <c r="D30" s="129">
        <f t="shared" si="6"/>
        <v>930.35</v>
      </c>
      <c r="E30" s="129">
        <f t="shared" si="6"/>
        <v>19.2</v>
      </c>
      <c r="F30" s="129">
        <f t="shared" si="6"/>
        <v>1023</v>
      </c>
      <c r="G30" s="129">
        <f t="shared" si="6"/>
        <v>10.5</v>
      </c>
      <c r="H30" s="142"/>
      <c r="I30" s="148"/>
      <c r="J30" s="142"/>
      <c r="K30" s="103"/>
      <c r="L30" s="103"/>
      <c r="M30" s="158"/>
    </row>
    <row r="31" spans="1:15">
      <c r="A31" s="128" t="s">
        <v>197</v>
      </c>
      <c r="B31" s="129">
        <f t="shared" ref="B31:G31" si="7">(B23*B$28)+B23</f>
        <v>361.2</v>
      </c>
      <c r="C31" s="129">
        <f t="shared" si="7"/>
        <v>633.6</v>
      </c>
      <c r="D31" s="129">
        <f t="shared" si="7"/>
        <v>857.9</v>
      </c>
      <c r="E31" s="129">
        <f t="shared" si="7"/>
        <v>69.599999999999994</v>
      </c>
      <c r="F31" s="129">
        <f t="shared" si="7"/>
        <v>460.9</v>
      </c>
      <c r="G31" s="129">
        <f t="shared" si="7"/>
        <v>71.400000000000006</v>
      </c>
      <c r="H31" s="142"/>
      <c r="I31" s="148"/>
      <c r="J31" s="142"/>
      <c r="K31" s="103"/>
      <c r="L31" s="103"/>
      <c r="M31" s="158"/>
    </row>
    <row r="32" spans="1:15">
      <c r="A32" s="131" t="s">
        <v>198</v>
      </c>
      <c r="B32" s="129">
        <f t="shared" ref="B32:G32" si="8">(B24*B$28)+B24</f>
        <v>105.6</v>
      </c>
      <c r="C32" s="129">
        <f t="shared" si="8"/>
        <v>826.1</v>
      </c>
      <c r="D32" s="129">
        <f t="shared" si="8"/>
        <v>848.7</v>
      </c>
      <c r="E32" s="129">
        <f t="shared" si="8"/>
        <v>724.8</v>
      </c>
      <c r="F32" s="129">
        <f t="shared" si="8"/>
        <v>310.2</v>
      </c>
      <c r="G32" s="129">
        <f t="shared" si="8"/>
        <v>268.8</v>
      </c>
      <c r="H32" s="142"/>
      <c r="I32" s="148"/>
      <c r="J32" s="142"/>
      <c r="K32" s="103"/>
      <c r="L32" s="103"/>
      <c r="M32" s="158"/>
    </row>
    <row r="33" spans="1:13">
      <c r="A33" s="128" t="s">
        <v>199</v>
      </c>
      <c r="B33" s="129">
        <f t="shared" ref="B33:G33" si="9">(B25*B$28)+B25</f>
        <v>606</v>
      </c>
      <c r="C33" s="129">
        <f t="shared" si="9"/>
        <v>932.8</v>
      </c>
      <c r="D33" s="129">
        <f t="shared" si="9"/>
        <v>353.05</v>
      </c>
      <c r="E33" s="129">
        <f t="shared" si="9"/>
        <v>670.8</v>
      </c>
      <c r="F33" s="129">
        <f t="shared" si="9"/>
        <v>590.70000000000005</v>
      </c>
      <c r="G33" s="129">
        <f t="shared" si="9"/>
        <v>721.35</v>
      </c>
      <c r="H33" s="142"/>
      <c r="I33" s="148"/>
      <c r="J33" s="142"/>
      <c r="K33" s="103"/>
      <c r="L33" s="103"/>
      <c r="M33" s="158"/>
    </row>
    <row r="34" spans="1:13" ht="15" thickBot="1">
      <c r="A34" s="149"/>
      <c r="B34" s="129">
        <f t="shared" ref="B34:G34" si="10">(B26*B$28)+B26</f>
        <v>0</v>
      </c>
      <c r="C34" s="129">
        <f t="shared" si="10"/>
        <v>0</v>
      </c>
      <c r="D34" s="129">
        <f t="shared" si="10"/>
        <v>0</v>
      </c>
      <c r="E34" s="129">
        <f t="shared" si="10"/>
        <v>0</v>
      </c>
      <c r="F34" s="129">
        <f t="shared" si="10"/>
        <v>0</v>
      </c>
      <c r="G34" s="129">
        <f t="shared" si="10"/>
        <v>0</v>
      </c>
      <c r="H34" s="103"/>
      <c r="I34" s="122"/>
      <c r="J34" s="103"/>
      <c r="K34" s="103"/>
      <c r="L34" s="103"/>
      <c r="M34" s="158"/>
    </row>
    <row r="35" spans="1:13">
      <c r="A35" s="103"/>
      <c r="B35" s="103"/>
      <c r="C35" s="103"/>
      <c r="D35" s="103"/>
      <c r="E35" s="103"/>
      <c r="F35" s="103"/>
      <c r="G35" s="103"/>
      <c r="H35" s="103"/>
      <c r="I35" s="122"/>
      <c r="J35" s="103"/>
      <c r="K35" s="103"/>
      <c r="L35" s="103"/>
      <c r="M35" s="158"/>
    </row>
    <row r="36" spans="1:13" ht="15" thickBot="1">
      <c r="A36" s="103"/>
      <c r="B36" s="103"/>
      <c r="C36" s="103"/>
      <c r="D36" s="103"/>
      <c r="E36" s="103"/>
      <c r="F36" s="103"/>
      <c r="G36" s="103"/>
      <c r="H36" s="103"/>
      <c r="I36" s="122"/>
      <c r="J36" s="103"/>
      <c r="K36" s="103"/>
      <c r="L36" s="103"/>
      <c r="M36" s="158"/>
    </row>
    <row r="37" spans="1:13">
      <c r="A37" s="150"/>
      <c r="B37" s="151"/>
      <c r="C37" s="152" t="s">
        <v>195</v>
      </c>
      <c r="D37" s="152" t="s">
        <v>196</v>
      </c>
      <c r="E37" s="152" t="s">
        <v>197</v>
      </c>
      <c r="F37" s="152" t="s">
        <v>198</v>
      </c>
      <c r="G37" s="153" t="s">
        <v>199</v>
      </c>
      <c r="H37" s="103"/>
      <c r="I37" s="122"/>
      <c r="J37" s="103"/>
      <c r="K37" s="103"/>
      <c r="L37" s="103"/>
      <c r="M37" s="158"/>
    </row>
    <row r="38" spans="1:13">
      <c r="A38" s="154">
        <v>42736</v>
      </c>
      <c r="B38" s="129"/>
      <c r="C38" s="129">
        <v>247</v>
      </c>
      <c r="D38" s="129">
        <v>515</v>
      </c>
      <c r="E38" s="129">
        <v>700</v>
      </c>
      <c r="F38" s="129">
        <v>358</v>
      </c>
      <c r="G38" s="130">
        <v>71</v>
      </c>
      <c r="H38" s="103"/>
      <c r="I38" s="122"/>
      <c r="J38" s="103"/>
      <c r="K38" s="103"/>
      <c r="L38" s="103"/>
      <c r="M38" s="158"/>
    </row>
    <row r="39" spans="1:13">
      <c r="A39" s="155">
        <v>42767</v>
      </c>
      <c r="B39" s="132"/>
      <c r="C39" s="132">
        <v>254</v>
      </c>
      <c r="D39" s="132">
        <v>809</v>
      </c>
      <c r="E39" s="132">
        <v>16</v>
      </c>
      <c r="F39" s="132">
        <v>930</v>
      </c>
      <c r="G39" s="133">
        <v>10</v>
      </c>
      <c r="H39" s="103"/>
      <c r="I39" s="122"/>
      <c r="J39" s="103"/>
      <c r="K39" s="103"/>
      <c r="L39" s="103"/>
      <c r="M39" s="158"/>
    </row>
    <row r="40" spans="1:13">
      <c r="A40" s="154">
        <v>42795</v>
      </c>
      <c r="B40" s="129"/>
      <c r="C40" s="129">
        <v>576</v>
      </c>
      <c r="D40" s="129">
        <v>746</v>
      </c>
      <c r="E40" s="129">
        <v>58</v>
      </c>
      <c r="F40" s="129">
        <v>419</v>
      </c>
      <c r="G40" s="130">
        <v>68</v>
      </c>
      <c r="H40" s="103"/>
      <c r="I40" s="122"/>
      <c r="J40" s="103"/>
      <c r="K40" s="103"/>
      <c r="L40" s="103"/>
      <c r="M40" s="158"/>
    </row>
    <row r="41" spans="1:13">
      <c r="A41" s="155">
        <v>42826</v>
      </c>
      <c r="B41" s="132"/>
      <c r="C41" s="132">
        <v>751</v>
      </c>
      <c r="D41" s="132">
        <v>738</v>
      </c>
      <c r="E41" s="132">
        <v>604</v>
      </c>
      <c r="F41" s="132">
        <v>282</v>
      </c>
      <c r="G41" s="133">
        <v>256</v>
      </c>
      <c r="H41" s="103"/>
      <c r="I41" s="122"/>
      <c r="J41" s="103"/>
      <c r="K41" s="103"/>
      <c r="L41" s="103"/>
      <c r="M41" s="158"/>
    </row>
    <row r="42" spans="1:13">
      <c r="A42" s="154">
        <v>42856</v>
      </c>
      <c r="B42" s="129"/>
      <c r="C42" s="129">
        <v>848</v>
      </c>
      <c r="D42" s="129">
        <v>307</v>
      </c>
      <c r="E42" s="129">
        <v>559</v>
      </c>
      <c r="F42" s="129">
        <v>537</v>
      </c>
      <c r="G42" s="130">
        <v>687</v>
      </c>
      <c r="H42" s="103"/>
      <c r="I42" s="122"/>
      <c r="J42" s="103"/>
      <c r="K42" s="103"/>
      <c r="L42" s="103"/>
      <c r="M42" s="158"/>
    </row>
    <row r="43" spans="1:13" ht="15" thickBot="1">
      <c r="A43" s="156">
        <v>42887</v>
      </c>
      <c r="B43" s="135"/>
      <c r="C43" s="135">
        <v>576</v>
      </c>
      <c r="D43" s="135">
        <v>746</v>
      </c>
      <c r="E43" s="135">
        <v>58</v>
      </c>
      <c r="F43" s="135">
        <v>419</v>
      </c>
      <c r="G43" s="136">
        <v>68</v>
      </c>
      <c r="H43" s="103"/>
      <c r="I43" s="122"/>
      <c r="J43" s="103"/>
      <c r="K43" s="103"/>
      <c r="L43" s="103"/>
      <c r="M43" s="158"/>
    </row>
    <row r="44" spans="1:13" ht="15" thickBot="1">
      <c r="A44" s="143"/>
      <c r="B44" s="103"/>
      <c r="C44" s="103"/>
      <c r="D44" s="103"/>
      <c r="E44" s="103"/>
      <c r="F44" s="103"/>
      <c r="G44" s="144"/>
      <c r="H44" s="103"/>
      <c r="I44" s="122"/>
      <c r="J44" s="103"/>
      <c r="K44" s="103"/>
      <c r="L44" s="103"/>
      <c r="M44" s="158"/>
    </row>
    <row r="45" spans="1:13">
      <c r="A45" s="150"/>
      <c r="B45" s="151" t="s">
        <v>204</v>
      </c>
      <c r="C45" s="152" t="s">
        <v>195</v>
      </c>
      <c r="D45" s="152" t="s">
        <v>196</v>
      </c>
      <c r="E45" s="152" t="s">
        <v>197</v>
      </c>
      <c r="F45" s="152" t="s">
        <v>198</v>
      </c>
      <c r="G45" s="153" t="s">
        <v>199</v>
      </c>
      <c r="H45" s="103"/>
      <c r="I45" s="137" t="s">
        <v>205</v>
      </c>
      <c r="J45" s="103"/>
      <c r="K45" s="103"/>
      <c r="L45" s="103"/>
      <c r="M45" s="158"/>
    </row>
    <row r="46" spans="1:13">
      <c r="A46" s="154">
        <v>42736</v>
      </c>
      <c r="B46" s="146">
        <v>0.2</v>
      </c>
      <c r="C46" s="129">
        <f>(C38*$B46) + C38</f>
        <v>296.39999999999998</v>
      </c>
      <c r="D46" s="129">
        <f t="shared" ref="D46:G46" si="11">(D38*$B46) + D38</f>
        <v>618</v>
      </c>
      <c r="E46" s="129">
        <f t="shared" si="11"/>
        <v>840</v>
      </c>
      <c r="F46" s="129">
        <f t="shared" si="11"/>
        <v>429.6</v>
      </c>
      <c r="G46" s="129">
        <f t="shared" si="11"/>
        <v>85.2</v>
      </c>
      <c r="H46" s="103"/>
      <c r="I46" s="122"/>
      <c r="J46" s="103"/>
      <c r="K46" s="103"/>
      <c r="L46" s="103"/>
      <c r="M46" s="158"/>
    </row>
    <row r="47" spans="1:13">
      <c r="A47" s="155">
        <v>42767</v>
      </c>
      <c r="B47" s="146">
        <v>0.1</v>
      </c>
      <c r="C47" s="129">
        <f>(C39*$B47) + C39</f>
        <v>279.39999999999998</v>
      </c>
      <c r="D47" s="129">
        <f t="shared" ref="C47:G51" si="12">(D39*$B47) + D39</f>
        <v>889.9</v>
      </c>
      <c r="E47" s="129">
        <f t="shared" si="12"/>
        <v>17.600000000000001</v>
      </c>
      <c r="F47" s="129">
        <f t="shared" si="12"/>
        <v>1023</v>
      </c>
      <c r="G47" s="129">
        <f t="shared" si="12"/>
        <v>11</v>
      </c>
      <c r="H47" s="103"/>
      <c r="I47" s="122"/>
      <c r="J47" s="103"/>
      <c r="K47" s="103"/>
      <c r="L47" s="103"/>
      <c r="M47" s="158"/>
    </row>
    <row r="48" spans="1:13">
      <c r="A48" s="154">
        <v>42795</v>
      </c>
      <c r="B48" s="146">
        <v>0.15</v>
      </c>
      <c r="C48" s="129">
        <f t="shared" si="12"/>
        <v>662.4</v>
      </c>
      <c r="D48" s="129">
        <f t="shared" si="12"/>
        <v>857.9</v>
      </c>
      <c r="E48" s="129">
        <f t="shared" si="12"/>
        <v>66.7</v>
      </c>
      <c r="F48" s="129">
        <f t="shared" si="12"/>
        <v>481.85</v>
      </c>
      <c r="G48" s="129">
        <f t="shared" si="12"/>
        <v>78.2</v>
      </c>
      <c r="H48" s="103"/>
      <c r="I48" s="122"/>
      <c r="J48" s="103"/>
      <c r="K48" s="103"/>
      <c r="L48" s="103"/>
      <c r="M48" s="158"/>
    </row>
    <row r="49" spans="1:13">
      <c r="A49" s="155">
        <v>42826</v>
      </c>
      <c r="B49" s="146">
        <v>0.2</v>
      </c>
      <c r="C49" s="129">
        <f t="shared" si="12"/>
        <v>901.2</v>
      </c>
      <c r="D49" s="129">
        <f t="shared" si="12"/>
        <v>885.6</v>
      </c>
      <c r="E49" s="129">
        <f t="shared" si="12"/>
        <v>724.8</v>
      </c>
      <c r="F49" s="129">
        <f>(F41*$B49) + F41</f>
        <v>338.4</v>
      </c>
      <c r="G49" s="129">
        <f t="shared" si="12"/>
        <v>307.2</v>
      </c>
      <c r="H49" s="103"/>
      <c r="I49" s="122"/>
      <c r="J49" s="103"/>
      <c r="K49" s="103"/>
      <c r="L49" s="103"/>
      <c r="M49" s="158"/>
    </row>
    <row r="50" spans="1:13">
      <c r="A50" s="154">
        <v>42856</v>
      </c>
      <c r="B50" s="146">
        <v>0.1</v>
      </c>
      <c r="C50" s="129">
        <f t="shared" si="12"/>
        <v>932.8</v>
      </c>
      <c r="D50" s="129">
        <f t="shared" si="12"/>
        <v>337.7</v>
      </c>
      <c r="E50" s="129">
        <f t="shared" si="12"/>
        <v>614.9</v>
      </c>
      <c r="F50" s="129">
        <f t="shared" si="12"/>
        <v>590.70000000000005</v>
      </c>
      <c r="G50" s="129">
        <f t="shared" si="12"/>
        <v>755.7</v>
      </c>
      <c r="H50" s="103"/>
      <c r="I50" s="122"/>
      <c r="J50" s="103"/>
      <c r="K50" s="103"/>
      <c r="L50" s="103"/>
      <c r="M50" s="158"/>
    </row>
    <row r="51" spans="1:13" ht="15" thickBot="1">
      <c r="A51" s="156">
        <v>42887</v>
      </c>
      <c r="B51" s="157">
        <v>0.05</v>
      </c>
      <c r="C51" s="129">
        <f t="shared" si="12"/>
        <v>604.79999999999995</v>
      </c>
      <c r="D51" s="129">
        <f t="shared" si="12"/>
        <v>783.3</v>
      </c>
      <c r="E51" s="129">
        <f t="shared" si="12"/>
        <v>60.9</v>
      </c>
      <c r="F51" s="129">
        <f t="shared" si="12"/>
        <v>439.95</v>
      </c>
      <c r="G51" s="129">
        <f t="shared" si="12"/>
        <v>71.400000000000006</v>
      </c>
      <c r="H51" s="103"/>
      <c r="I51" s="122"/>
      <c r="J51" s="103"/>
      <c r="K51" s="103"/>
      <c r="L51" s="103"/>
      <c r="M51" s="158"/>
    </row>
    <row r="52" spans="1:13">
      <c r="A52" s="103"/>
      <c r="B52" s="103"/>
      <c r="C52" s="103"/>
      <c r="D52" s="103"/>
      <c r="E52" s="103"/>
      <c r="F52" s="103"/>
      <c r="G52" s="103"/>
      <c r="H52" s="103"/>
      <c r="I52" s="122"/>
      <c r="J52" s="103"/>
      <c r="K52" s="103"/>
      <c r="L52" s="103"/>
      <c r="M52" s="158"/>
    </row>
    <row r="53" spans="1:13">
      <c r="A53" s="103"/>
      <c r="B53" s="103"/>
      <c r="C53" s="103"/>
      <c r="D53" s="103"/>
      <c r="E53" s="103"/>
      <c r="F53" s="103"/>
      <c r="G53" s="103"/>
      <c r="H53" s="103"/>
      <c r="I53" s="122"/>
      <c r="J53" s="103"/>
      <c r="K53" s="103"/>
      <c r="L53" s="103"/>
      <c r="M53" s="158"/>
    </row>
    <row r="54" spans="1:13">
      <c r="A54" s="103"/>
      <c r="B54" s="103"/>
      <c r="C54" s="103"/>
      <c r="D54" s="103"/>
      <c r="E54" s="103"/>
      <c r="F54" s="103"/>
      <c r="G54" s="103"/>
      <c r="H54" s="103"/>
      <c r="I54" s="122"/>
      <c r="J54" s="103"/>
      <c r="K54" s="103"/>
      <c r="L54" s="103"/>
      <c r="M54" s="158"/>
    </row>
    <row r="55" spans="1:13">
      <c r="A55" s="103"/>
      <c r="B55" s="103"/>
      <c r="C55" s="103"/>
      <c r="D55" s="103"/>
      <c r="E55" s="103"/>
      <c r="F55" s="103"/>
      <c r="G55" s="103"/>
      <c r="H55" s="103"/>
      <c r="I55" s="122"/>
      <c r="J55" s="103"/>
      <c r="K55" s="103"/>
      <c r="L55" s="103"/>
      <c r="M55" s="158"/>
    </row>
    <row r="56" spans="1:13">
      <c r="A56" s="158"/>
      <c r="B56" s="158"/>
      <c r="C56" s="158"/>
      <c r="D56" s="158"/>
      <c r="E56" s="158"/>
      <c r="F56" s="158"/>
      <c r="G56" s="158"/>
      <c r="H56" s="158"/>
      <c r="I56" s="159"/>
      <c r="J56" s="158"/>
      <c r="K56" s="158"/>
      <c r="L56" s="158"/>
      <c r="M56" s="158"/>
    </row>
    <row r="57" spans="1:13">
      <c r="A57" s="103"/>
      <c r="B57" s="103"/>
      <c r="C57" s="103"/>
      <c r="D57" s="103"/>
      <c r="E57" s="103"/>
      <c r="F57" s="103"/>
      <c r="G57" s="103"/>
      <c r="H57" s="103"/>
      <c r="I57" s="122"/>
      <c r="J57" s="103"/>
      <c r="K57" s="103"/>
      <c r="L57" s="103"/>
    </row>
    <row r="58" spans="1:13">
      <c r="A58" s="103"/>
      <c r="B58" s="103"/>
      <c r="C58" s="103"/>
      <c r="D58" s="103"/>
      <c r="E58" s="103"/>
      <c r="F58" s="103"/>
      <c r="G58" s="103"/>
      <c r="H58" s="103"/>
      <c r="I58" s="122"/>
      <c r="J58" s="103"/>
      <c r="K58" s="103"/>
      <c r="L58" s="103"/>
    </row>
  </sheetData>
  <mergeCells count="1">
    <mergeCell ref="G2:L3"/>
  </mergeCells>
  <pageMargins left="0.511811024" right="0.511811024" top="0.78740157499999996" bottom="0.78740157499999996" header="0.31496062000000002" footer="0.31496062000000002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5"/>
  <sheetViews>
    <sheetView showGridLines="0" zoomScale="85" zoomScaleNormal="85" workbookViewId="0">
      <selection activeCell="H3" sqref="H3"/>
    </sheetView>
  </sheetViews>
  <sheetFormatPr defaultColWidth="9.125" defaultRowHeight="20.100000000000001" customHeight="1"/>
  <cols>
    <col min="1" max="6" width="17.75" style="20" customWidth="1"/>
    <col min="7" max="7" width="17.75" style="64" customWidth="1"/>
    <col min="8" max="8" width="18.125" style="20" customWidth="1"/>
    <col min="9" max="9" width="16.125" style="20" customWidth="1"/>
    <col min="10" max="10" width="11.625" style="20" bestFit="1" customWidth="1"/>
    <col min="11" max="16384" width="9.125" style="20"/>
  </cols>
  <sheetData>
    <row r="1" spans="1:10" ht="100.5" customHeight="1">
      <c r="A1" s="173"/>
      <c r="B1" s="173"/>
      <c r="C1" s="173"/>
      <c r="D1" s="173"/>
      <c r="E1" s="173"/>
      <c r="F1" s="173"/>
      <c r="G1" s="173"/>
    </row>
    <row r="2" spans="1:10" ht="20.100000000000001" customHeight="1">
      <c r="A2" s="39" t="s">
        <v>206</v>
      </c>
      <c r="B2" s="39" t="s">
        <v>207</v>
      </c>
      <c r="C2" s="39" t="s">
        <v>208</v>
      </c>
      <c r="D2" s="39" t="s">
        <v>209</v>
      </c>
      <c r="E2" s="39" t="s">
        <v>210</v>
      </c>
      <c r="F2" s="39" t="s">
        <v>211</v>
      </c>
      <c r="H2" s="163" t="s">
        <v>212</v>
      </c>
      <c r="I2" s="39" t="s">
        <v>213</v>
      </c>
      <c r="J2" s="39" t="s">
        <v>214</v>
      </c>
    </row>
    <row r="3" spans="1:10" ht="20.100000000000001" customHeight="1">
      <c r="A3" s="27">
        <v>36845</v>
      </c>
      <c r="B3" s="62">
        <f>DAY(A3)</f>
        <v>15</v>
      </c>
      <c r="C3" s="62">
        <f>MONTH(A3)</f>
        <v>11</v>
      </c>
      <c r="D3" s="62">
        <f>YEAR(A3)</f>
        <v>2000</v>
      </c>
      <c r="E3" s="63">
        <f>DATE(D3,C3,B3)</f>
        <v>36845</v>
      </c>
      <c r="F3" s="63">
        <f>E3+30</f>
        <v>36875</v>
      </c>
      <c r="H3" s="27">
        <v>46330</v>
      </c>
      <c r="I3" s="164">
        <f ca="1">H3-J3</f>
        <v>111</v>
      </c>
      <c r="J3" s="27">
        <f ca="1">TODAY()</f>
        <v>46219</v>
      </c>
    </row>
    <row r="4" spans="1:10" ht="20.100000000000001" customHeight="1">
      <c r="A4" s="27">
        <v>27902</v>
      </c>
      <c r="B4" s="62">
        <f t="shared" ref="B4:B11" si="0">DAY(A4)</f>
        <v>22</v>
      </c>
      <c r="C4" s="62">
        <f t="shared" ref="C4:C11" si="1">MONTH(A4)</f>
        <v>5</v>
      </c>
      <c r="D4" s="62">
        <f t="shared" ref="D4:D11" si="2">YEAR(A4)</f>
        <v>1976</v>
      </c>
      <c r="E4" s="63">
        <f t="shared" ref="E4:E11" si="3">DATE(D4,C4,B4)</f>
        <v>27902</v>
      </c>
      <c r="F4" s="63">
        <f t="shared" ref="F4:F11" si="4">E4+30</f>
        <v>27932</v>
      </c>
      <c r="H4" s="65"/>
      <c r="I4" s="64"/>
    </row>
    <row r="5" spans="1:10" ht="20.100000000000001" customHeight="1">
      <c r="A5" s="27">
        <v>41856</v>
      </c>
      <c r="B5" s="62">
        <f t="shared" si="0"/>
        <v>5</v>
      </c>
      <c r="C5" s="62">
        <f t="shared" si="1"/>
        <v>8</v>
      </c>
      <c r="D5" s="62">
        <f t="shared" si="2"/>
        <v>2014</v>
      </c>
      <c r="E5" s="63">
        <f t="shared" si="3"/>
        <v>41856</v>
      </c>
      <c r="F5" s="63">
        <f t="shared" si="4"/>
        <v>41886</v>
      </c>
      <c r="H5" s="65"/>
      <c r="I5" s="64"/>
    </row>
    <row r="6" spans="1:10" ht="20.100000000000001" customHeight="1">
      <c r="A6" s="27">
        <v>38057</v>
      </c>
      <c r="B6" s="62">
        <f t="shared" si="0"/>
        <v>11</v>
      </c>
      <c r="C6" s="62">
        <f t="shared" si="1"/>
        <v>3</v>
      </c>
      <c r="D6" s="62">
        <f t="shared" si="2"/>
        <v>2004</v>
      </c>
      <c r="E6" s="63">
        <f t="shared" si="3"/>
        <v>38057</v>
      </c>
      <c r="F6" s="63">
        <f t="shared" si="4"/>
        <v>38087</v>
      </c>
    </row>
    <row r="7" spans="1:10" ht="20.100000000000001" customHeight="1">
      <c r="A7" s="27">
        <v>23353</v>
      </c>
      <c r="B7" s="62">
        <f t="shared" si="0"/>
        <v>8</v>
      </c>
      <c r="C7" s="62">
        <f t="shared" si="1"/>
        <v>12</v>
      </c>
      <c r="D7" s="62">
        <f t="shared" si="2"/>
        <v>1963</v>
      </c>
      <c r="E7" s="63">
        <f t="shared" si="3"/>
        <v>23353</v>
      </c>
      <c r="F7" s="63">
        <f t="shared" si="4"/>
        <v>23383</v>
      </c>
    </row>
    <row r="8" spans="1:10" ht="20.100000000000001" customHeight="1">
      <c r="A8" s="27">
        <v>34533</v>
      </c>
      <c r="B8" s="62">
        <f t="shared" si="0"/>
        <v>18</v>
      </c>
      <c r="C8" s="62">
        <f t="shared" si="1"/>
        <v>7</v>
      </c>
      <c r="D8" s="62">
        <f t="shared" si="2"/>
        <v>1994</v>
      </c>
      <c r="E8" s="63">
        <f t="shared" si="3"/>
        <v>34533</v>
      </c>
      <c r="F8" s="63">
        <f t="shared" si="4"/>
        <v>34563</v>
      </c>
      <c r="H8" s="65"/>
      <c r="I8" s="64"/>
    </row>
    <row r="9" spans="1:10" ht="20.100000000000001" customHeight="1">
      <c r="A9" s="27">
        <v>39599</v>
      </c>
      <c r="B9" s="62">
        <f t="shared" si="0"/>
        <v>31</v>
      </c>
      <c r="C9" s="62">
        <f t="shared" si="1"/>
        <v>5</v>
      </c>
      <c r="D9" s="62">
        <f t="shared" si="2"/>
        <v>2008</v>
      </c>
      <c r="E9" s="63">
        <f t="shared" si="3"/>
        <v>39599</v>
      </c>
      <c r="F9" s="63">
        <f t="shared" si="4"/>
        <v>39629</v>
      </c>
      <c r="H9" s="65"/>
      <c r="I9" s="64"/>
    </row>
    <row r="10" spans="1:10" ht="20.100000000000001" customHeight="1">
      <c r="A10" s="27">
        <v>39101</v>
      </c>
      <c r="B10" s="62">
        <f t="shared" si="0"/>
        <v>19</v>
      </c>
      <c r="C10" s="62">
        <f t="shared" si="1"/>
        <v>1</v>
      </c>
      <c r="D10" s="62">
        <f t="shared" si="2"/>
        <v>2007</v>
      </c>
      <c r="E10" s="63">
        <f t="shared" si="3"/>
        <v>39101</v>
      </c>
      <c r="F10" s="63">
        <f t="shared" si="4"/>
        <v>39131</v>
      </c>
      <c r="H10" s="1"/>
    </row>
    <row r="11" spans="1:10" ht="20.100000000000001" customHeight="1">
      <c r="A11" s="27">
        <v>41177</v>
      </c>
      <c r="B11" s="62">
        <f t="shared" si="0"/>
        <v>25</v>
      </c>
      <c r="C11" s="62">
        <f t="shared" si="1"/>
        <v>9</v>
      </c>
      <c r="D11" s="62">
        <f t="shared" si="2"/>
        <v>2012</v>
      </c>
      <c r="E11" s="63">
        <f t="shared" si="3"/>
        <v>41177</v>
      </c>
      <c r="F11" s="63">
        <f t="shared" si="4"/>
        <v>41207</v>
      </c>
      <c r="H11" s="1"/>
    </row>
    <row r="13" spans="1:10" ht="20.100000000000001" customHeight="1">
      <c r="A13" s="174"/>
      <c r="B13" s="174"/>
      <c r="C13" s="174"/>
      <c r="D13" s="174"/>
      <c r="E13" s="174"/>
      <c r="F13" s="174"/>
      <c r="G13" s="174"/>
    </row>
    <row r="14" spans="1:10" ht="20.100000000000001" customHeight="1">
      <c r="A14" s="174"/>
      <c r="B14" s="174"/>
      <c r="C14" s="174"/>
      <c r="D14" s="174"/>
      <c r="E14" s="174"/>
      <c r="F14" s="174"/>
      <c r="G14" s="174"/>
    </row>
    <row r="15" spans="1:10" ht="50.25" customHeight="1">
      <c r="A15" s="174"/>
      <c r="B15" s="174"/>
      <c r="C15" s="174"/>
      <c r="D15" s="174"/>
      <c r="E15" s="174"/>
      <c r="F15" s="174"/>
      <c r="G15" s="174"/>
    </row>
  </sheetData>
  <mergeCells count="2">
    <mergeCell ref="A1:G1"/>
    <mergeCell ref="A13:G15"/>
  </mergeCells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87"/>
  <sheetViews>
    <sheetView showGridLines="0" zoomScaleNormal="100" workbookViewId="0">
      <selection activeCell="B6" sqref="B6"/>
    </sheetView>
  </sheetViews>
  <sheetFormatPr defaultRowHeight="14.25"/>
  <cols>
    <col min="1" max="1" width="29.75" bestFit="1" customWidth="1"/>
    <col min="2" max="2" width="26" customWidth="1"/>
    <col min="3" max="3" width="12.875" bestFit="1" customWidth="1"/>
    <col min="4" max="4" width="16" bestFit="1" customWidth="1"/>
    <col min="5" max="5" width="13.625" bestFit="1" customWidth="1"/>
  </cols>
  <sheetData>
    <row r="1" spans="1:5" ht="73.5" customHeight="1"/>
    <row r="2" spans="1:5" ht="15.75">
      <c r="A2" s="39" t="s">
        <v>30</v>
      </c>
      <c r="B2" s="39" t="s">
        <v>31</v>
      </c>
      <c r="C2" s="39" t="s">
        <v>32</v>
      </c>
      <c r="D2" s="39" t="s">
        <v>33</v>
      </c>
      <c r="E2" s="39" t="s">
        <v>34</v>
      </c>
    </row>
    <row r="3" spans="1:5" ht="15">
      <c r="A3" s="28" t="s">
        <v>35</v>
      </c>
      <c r="B3" s="28" t="s">
        <v>215</v>
      </c>
      <c r="C3" s="28" t="s">
        <v>37</v>
      </c>
      <c r="D3" s="28" t="s">
        <v>38</v>
      </c>
      <c r="E3" s="66">
        <v>1360.625</v>
      </c>
    </row>
    <row r="4" spans="1:5" ht="15">
      <c r="A4" s="28" t="s">
        <v>39</v>
      </c>
      <c r="B4" s="28" t="s">
        <v>216</v>
      </c>
      <c r="C4" s="28" t="s">
        <v>37</v>
      </c>
      <c r="D4" s="28" t="s">
        <v>40</v>
      </c>
      <c r="E4" s="66">
        <v>2143.75</v>
      </c>
    </row>
    <row r="5" spans="1:5" ht="15">
      <c r="A5" s="28" t="s">
        <v>41</v>
      </c>
      <c r="B5" s="28" t="s">
        <v>216</v>
      </c>
      <c r="C5" s="28" t="s">
        <v>37</v>
      </c>
      <c r="D5" s="28" t="s">
        <v>40</v>
      </c>
      <c r="E5" s="66">
        <v>1080.625</v>
      </c>
    </row>
    <row r="6" spans="1:5" ht="15">
      <c r="A6" s="28" t="s">
        <v>42</v>
      </c>
      <c r="B6" s="28" t="s">
        <v>267</v>
      </c>
      <c r="C6" s="28" t="s">
        <v>44</v>
      </c>
      <c r="D6" s="28" t="s">
        <v>45</v>
      </c>
      <c r="E6" s="66">
        <v>586.25</v>
      </c>
    </row>
    <row r="7" spans="1:5" ht="15">
      <c r="A7" s="28" t="s">
        <v>46</v>
      </c>
      <c r="B7" s="28" t="s">
        <v>47</v>
      </c>
      <c r="C7" s="28" t="s">
        <v>48</v>
      </c>
      <c r="D7" s="28" t="s">
        <v>49</v>
      </c>
      <c r="E7" s="66">
        <v>793.75</v>
      </c>
    </row>
    <row r="8" spans="1:5" ht="15">
      <c r="A8" s="28" t="s">
        <v>50</v>
      </c>
      <c r="B8" s="28" t="s">
        <v>47</v>
      </c>
      <c r="C8" s="28" t="s">
        <v>48</v>
      </c>
      <c r="D8" s="28" t="s">
        <v>51</v>
      </c>
      <c r="E8" s="66">
        <v>793.75</v>
      </c>
    </row>
    <row r="9" spans="1:5" ht="15">
      <c r="A9" s="28" t="s">
        <v>52</v>
      </c>
      <c r="B9" s="28" t="s">
        <v>47</v>
      </c>
      <c r="C9" s="28" t="s">
        <v>48</v>
      </c>
      <c r="D9" s="28" t="s">
        <v>51</v>
      </c>
      <c r="E9" s="66">
        <v>1335</v>
      </c>
    </row>
    <row r="10" spans="1:5" ht="15">
      <c r="A10" s="28" t="s">
        <v>53</v>
      </c>
      <c r="B10" s="28" t="s">
        <v>267</v>
      </c>
      <c r="C10" s="28" t="s">
        <v>54</v>
      </c>
      <c r="D10" s="28" t="s">
        <v>38</v>
      </c>
      <c r="E10" s="66">
        <v>532.5</v>
      </c>
    </row>
    <row r="11" spans="1:5" ht="15">
      <c r="A11" s="28" t="s">
        <v>55</v>
      </c>
      <c r="B11" s="28" t="s">
        <v>267</v>
      </c>
      <c r="C11" s="28" t="s">
        <v>54</v>
      </c>
      <c r="D11" s="28" t="s">
        <v>38</v>
      </c>
      <c r="E11" s="66">
        <v>643.75</v>
      </c>
    </row>
    <row r="12" spans="1:5" ht="15">
      <c r="A12" s="28" t="s">
        <v>56</v>
      </c>
      <c r="B12" s="28" t="s">
        <v>57</v>
      </c>
      <c r="C12" s="28" t="s">
        <v>58</v>
      </c>
      <c r="D12" s="28" t="s">
        <v>38</v>
      </c>
      <c r="E12" s="66">
        <v>1290</v>
      </c>
    </row>
    <row r="13" spans="1:5" ht="15">
      <c r="A13" s="28" t="s">
        <v>59</v>
      </c>
      <c r="B13" s="28" t="s">
        <v>57</v>
      </c>
      <c r="C13" s="28" t="s">
        <v>58</v>
      </c>
      <c r="D13" s="28" t="s">
        <v>60</v>
      </c>
      <c r="E13" s="66">
        <v>1900</v>
      </c>
    </row>
    <row r="14" spans="1:5" ht="15">
      <c r="A14" s="28" t="s">
        <v>61</v>
      </c>
      <c r="B14" s="28" t="s">
        <v>57</v>
      </c>
      <c r="C14" s="28" t="s">
        <v>58</v>
      </c>
      <c r="D14" s="28" t="s">
        <v>62</v>
      </c>
      <c r="E14" s="66">
        <v>1968</v>
      </c>
    </row>
    <row r="15" spans="1:5" ht="15">
      <c r="A15" s="28" t="s">
        <v>63</v>
      </c>
      <c r="B15" s="28" t="s">
        <v>57</v>
      </c>
      <c r="C15" s="28" t="s">
        <v>58</v>
      </c>
      <c r="D15" s="28" t="s">
        <v>62</v>
      </c>
      <c r="E15" s="66">
        <v>1980</v>
      </c>
    </row>
    <row r="16" spans="1:5" ht="15">
      <c r="A16" s="28" t="s">
        <v>64</v>
      </c>
      <c r="B16" s="28" t="s">
        <v>215</v>
      </c>
      <c r="C16" s="28" t="s">
        <v>58</v>
      </c>
      <c r="D16" s="28" t="s">
        <v>51</v>
      </c>
      <c r="E16" s="66">
        <v>1443.75</v>
      </c>
    </row>
    <row r="17" spans="1:5" ht="15">
      <c r="A17" s="28" t="s">
        <v>65</v>
      </c>
      <c r="B17" s="28" t="s">
        <v>66</v>
      </c>
      <c r="C17" s="28" t="s">
        <v>67</v>
      </c>
      <c r="D17" s="28" t="s">
        <v>62</v>
      </c>
      <c r="E17" s="66">
        <v>567.5</v>
      </c>
    </row>
    <row r="18" spans="1:5" ht="15">
      <c r="A18" s="28" t="s">
        <v>68</v>
      </c>
      <c r="B18" s="28" t="s">
        <v>66</v>
      </c>
      <c r="C18" s="28" t="s">
        <v>67</v>
      </c>
      <c r="D18" s="28" t="s">
        <v>69</v>
      </c>
      <c r="E18" s="66">
        <v>537.5</v>
      </c>
    </row>
    <row r="19" spans="1:5" ht="15">
      <c r="A19" s="28" t="s">
        <v>70</v>
      </c>
      <c r="B19" s="28" t="s">
        <v>215</v>
      </c>
      <c r="C19" s="28" t="s">
        <v>71</v>
      </c>
      <c r="D19" s="28" t="s">
        <v>69</v>
      </c>
      <c r="E19" s="66">
        <v>1470</v>
      </c>
    </row>
    <row r="20" spans="1:5" ht="15">
      <c r="A20" s="28" t="s">
        <v>72</v>
      </c>
      <c r="B20" s="28" t="s">
        <v>73</v>
      </c>
      <c r="C20" s="28" t="s">
        <v>74</v>
      </c>
      <c r="D20" s="28" t="s">
        <v>60</v>
      </c>
      <c r="E20" s="66">
        <v>670</v>
      </c>
    </row>
    <row r="21" spans="1:5" ht="15">
      <c r="A21" s="28" t="s">
        <v>75</v>
      </c>
      <c r="B21" s="28" t="s">
        <v>73</v>
      </c>
      <c r="C21" s="28" t="s">
        <v>74</v>
      </c>
      <c r="D21" s="28" t="s">
        <v>76</v>
      </c>
      <c r="E21" s="66">
        <v>2012</v>
      </c>
    </row>
    <row r="22" spans="1:5" ht="15">
      <c r="A22" s="28" t="s">
        <v>77</v>
      </c>
      <c r="B22" s="28" t="s">
        <v>215</v>
      </c>
      <c r="C22" s="28" t="s">
        <v>74</v>
      </c>
      <c r="D22" s="28" t="s">
        <v>49</v>
      </c>
      <c r="E22" s="66">
        <v>1500.625</v>
      </c>
    </row>
    <row r="23" spans="1:5" ht="15">
      <c r="A23" s="28" t="s">
        <v>78</v>
      </c>
      <c r="B23" s="28" t="s">
        <v>73</v>
      </c>
      <c r="C23" s="28" t="s">
        <v>79</v>
      </c>
      <c r="D23" s="28" t="s">
        <v>80</v>
      </c>
      <c r="E23" s="66">
        <v>1945</v>
      </c>
    </row>
    <row r="24" spans="1:5" ht="15">
      <c r="A24" s="28" t="s">
        <v>81</v>
      </c>
      <c r="B24" s="28" t="s">
        <v>267</v>
      </c>
      <c r="C24" s="28" t="s">
        <v>82</v>
      </c>
      <c r="D24" s="28" t="s">
        <v>60</v>
      </c>
      <c r="E24" s="66">
        <v>638.75</v>
      </c>
    </row>
    <row r="25" spans="1:5" ht="15">
      <c r="A25" s="28" t="s">
        <v>83</v>
      </c>
      <c r="B25" s="28" t="s">
        <v>84</v>
      </c>
      <c r="C25" s="28" t="s">
        <v>85</v>
      </c>
      <c r="D25" s="28" t="s">
        <v>38</v>
      </c>
      <c r="E25" s="66">
        <v>858.75</v>
      </c>
    </row>
    <row r="26" spans="1:5" ht="15">
      <c r="A26" s="28" t="s">
        <v>86</v>
      </c>
      <c r="B26" s="28" t="s">
        <v>84</v>
      </c>
      <c r="C26" s="28" t="s">
        <v>85</v>
      </c>
      <c r="D26" s="28" t="s">
        <v>40</v>
      </c>
      <c r="E26" s="66">
        <v>1713.75</v>
      </c>
    </row>
    <row r="27" spans="1:5" ht="15">
      <c r="A27" s="28" t="s">
        <v>87</v>
      </c>
      <c r="B27" s="28" t="s">
        <v>84</v>
      </c>
      <c r="C27" s="28" t="s">
        <v>85</v>
      </c>
      <c r="D27" s="28" t="s">
        <v>88</v>
      </c>
      <c r="E27" s="66">
        <v>866.25</v>
      </c>
    </row>
    <row r="28" spans="1:5" ht="15">
      <c r="A28" s="28" t="s">
        <v>89</v>
      </c>
      <c r="B28" s="28" t="s">
        <v>84</v>
      </c>
      <c r="C28" s="28" t="s">
        <v>85</v>
      </c>
      <c r="D28" s="28" t="s">
        <v>80</v>
      </c>
      <c r="E28" s="66">
        <v>1121.25</v>
      </c>
    </row>
    <row r="29" spans="1:5" ht="15">
      <c r="A29" s="28" t="s">
        <v>90</v>
      </c>
      <c r="B29" s="28" t="s">
        <v>73</v>
      </c>
      <c r="C29" s="28" t="s">
        <v>91</v>
      </c>
      <c r="D29" s="28" t="s">
        <v>76</v>
      </c>
      <c r="E29" s="66">
        <v>2260</v>
      </c>
    </row>
    <row r="30" spans="1:5" ht="15">
      <c r="A30" s="28" t="s">
        <v>92</v>
      </c>
      <c r="B30" s="28" t="s">
        <v>57</v>
      </c>
      <c r="C30" s="28" t="s">
        <v>91</v>
      </c>
      <c r="D30" s="28" t="s">
        <v>88</v>
      </c>
      <c r="E30" s="66">
        <v>772</v>
      </c>
    </row>
    <row r="31" spans="1:5" ht="15">
      <c r="A31" s="28" t="s">
        <v>93</v>
      </c>
      <c r="B31" s="28" t="s">
        <v>267</v>
      </c>
      <c r="C31" s="28" t="s">
        <v>91</v>
      </c>
      <c r="D31" s="28" t="s">
        <v>51</v>
      </c>
      <c r="E31" s="66">
        <v>637.5</v>
      </c>
    </row>
    <row r="32" spans="1:5" ht="15">
      <c r="A32" s="28" t="s">
        <v>94</v>
      </c>
      <c r="B32" s="28" t="s">
        <v>73</v>
      </c>
      <c r="C32" s="28" t="s">
        <v>95</v>
      </c>
      <c r="D32" s="28" t="s">
        <v>38</v>
      </c>
      <c r="E32" s="66">
        <v>2030</v>
      </c>
    </row>
    <row r="33" spans="1:5" ht="15">
      <c r="A33" s="28" t="s">
        <v>96</v>
      </c>
      <c r="B33" s="28" t="s">
        <v>73</v>
      </c>
      <c r="C33" s="28" t="s">
        <v>95</v>
      </c>
      <c r="D33" s="28" t="s">
        <v>80</v>
      </c>
      <c r="E33" s="66">
        <v>1844</v>
      </c>
    </row>
    <row r="34" spans="1:5" ht="15">
      <c r="A34" s="28" t="s">
        <v>97</v>
      </c>
      <c r="B34" s="28" t="s">
        <v>73</v>
      </c>
      <c r="C34" s="28" t="s">
        <v>95</v>
      </c>
      <c r="D34" s="28" t="s">
        <v>80</v>
      </c>
      <c r="E34" s="66">
        <v>1648</v>
      </c>
    </row>
    <row r="35" spans="1:5" ht="15">
      <c r="A35" s="28" t="s">
        <v>98</v>
      </c>
      <c r="B35" s="28" t="s">
        <v>215</v>
      </c>
      <c r="C35" s="28" t="s">
        <v>99</v>
      </c>
      <c r="D35" s="28" t="s">
        <v>80</v>
      </c>
      <c r="E35" s="66">
        <v>1789.375</v>
      </c>
    </row>
    <row r="36" spans="1:5" ht="15">
      <c r="A36" s="28" t="s">
        <v>100</v>
      </c>
      <c r="B36" s="28" t="s">
        <v>215</v>
      </c>
      <c r="C36" s="28" t="s">
        <v>101</v>
      </c>
      <c r="D36" s="28" t="s">
        <v>60</v>
      </c>
      <c r="E36" s="66">
        <v>1299.375</v>
      </c>
    </row>
    <row r="37" spans="1:5" ht="15">
      <c r="A37" s="28" t="s">
        <v>102</v>
      </c>
      <c r="B37" s="28" t="s">
        <v>215</v>
      </c>
      <c r="C37" s="28" t="s">
        <v>101</v>
      </c>
      <c r="D37" s="28" t="s">
        <v>103</v>
      </c>
      <c r="E37" s="66">
        <v>1588.125</v>
      </c>
    </row>
    <row r="38" spans="1:5" ht="15">
      <c r="A38" s="28" t="s">
        <v>104</v>
      </c>
      <c r="B38" s="28" t="s">
        <v>215</v>
      </c>
      <c r="C38" s="28" t="s">
        <v>101</v>
      </c>
      <c r="D38" s="28" t="s">
        <v>69</v>
      </c>
      <c r="E38" s="66">
        <v>2318.75</v>
      </c>
    </row>
    <row r="39" spans="1:5" ht="15">
      <c r="A39" s="28" t="s">
        <v>105</v>
      </c>
      <c r="B39" s="28" t="s">
        <v>215</v>
      </c>
      <c r="C39" s="28" t="s">
        <v>101</v>
      </c>
      <c r="D39" s="28" t="s">
        <v>80</v>
      </c>
      <c r="E39" s="66">
        <v>997.5</v>
      </c>
    </row>
    <row r="40" spans="1:5" ht="15">
      <c r="A40" s="28" t="s">
        <v>106</v>
      </c>
      <c r="B40" s="28" t="s">
        <v>57</v>
      </c>
      <c r="C40" s="28" t="s">
        <v>107</v>
      </c>
      <c r="D40" s="28" t="s">
        <v>60</v>
      </c>
      <c r="E40" s="66">
        <v>2144</v>
      </c>
    </row>
    <row r="41" spans="1:5" ht="15">
      <c r="A41" s="28" t="s">
        <v>108</v>
      </c>
      <c r="B41" s="28" t="s">
        <v>73</v>
      </c>
      <c r="C41" s="28" t="s">
        <v>107</v>
      </c>
      <c r="D41" s="28" t="s">
        <v>60</v>
      </c>
      <c r="E41" s="66">
        <v>656</v>
      </c>
    </row>
    <row r="42" spans="1:5" ht="15">
      <c r="A42" s="28" t="s">
        <v>109</v>
      </c>
      <c r="B42" s="28" t="s">
        <v>73</v>
      </c>
      <c r="C42" s="28" t="s">
        <v>107</v>
      </c>
      <c r="D42" s="28" t="s">
        <v>60</v>
      </c>
      <c r="E42" s="66">
        <v>1376</v>
      </c>
    </row>
    <row r="43" spans="1:5" ht="15">
      <c r="A43" s="28" t="s">
        <v>110</v>
      </c>
      <c r="B43" s="28" t="s">
        <v>73</v>
      </c>
      <c r="C43" s="28" t="s">
        <v>107</v>
      </c>
      <c r="D43" s="28" t="s">
        <v>103</v>
      </c>
      <c r="E43" s="66">
        <v>1748</v>
      </c>
    </row>
    <row r="44" spans="1:5" ht="15">
      <c r="A44" s="28" t="s">
        <v>111</v>
      </c>
      <c r="B44" s="28" t="s">
        <v>73</v>
      </c>
      <c r="C44" s="28" t="s">
        <v>107</v>
      </c>
      <c r="D44" s="28" t="s">
        <v>62</v>
      </c>
      <c r="E44" s="66">
        <v>916</v>
      </c>
    </row>
    <row r="45" spans="1:5" ht="15">
      <c r="A45" s="28" t="s">
        <v>112</v>
      </c>
      <c r="B45" s="28" t="s">
        <v>215</v>
      </c>
      <c r="C45" s="28" t="s">
        <v>107</v>
      </c>
      <c r="D45" s="28" t="s">
        <v>62</v>
      </c>
      <c r="E45" s="66">
        <v>673.75</v>
      </c>
    </row>
    <row r="46" spans="1:5" ht="15">
      <c r="A46" s="28" t="s">
        <v>113</v>
      </c>
      <c r="B46" s="28" t="s">
        <v>73</v>
      </c>
      <c r="C46" s="28" t="s">
        <v>107</v>
      </c>
      <c r="D46" s="28" t="s">
        <v>69</v>
      </c>
      <c r="E46" s="66">
        <v>1664</v>
      </c>
    </row>
    <row r="47" spans="1:5" ht="15">
      <c r="A47" s="28" t="s">
        <v>114</v>
      </c>
      <c r="B47" s="28" t="s">
        <v>47</v>
      </c>
      <c r="C47" s="28" t="s">
        <v>107</v>
      </c>
      <c r="D47" s="28" t="s">
        <v>88</v>
      </c>
      <c r="E47" s="66">
        <v>825</v>
      </c>
    </row>
    <row r="48" spans="1:5" ht="15">
      <c r="A48" s="28" t="s">
        <v>115</v>
      </c>
      <c r="B48" s="28" t="s">
        <v>73</v>
      </c>
      <c r="C48" s="28" t="s">
        <v>107</v>
      </c>
      <c r="D48" s="28" t="s">
        <v>88</v>
      </c>
      <c r="E48" s="66">
        <v>1008</v>
      </c>
    </row>
    <row r="49" spans="1:5" ht="15">
      <c r="A49" s="28" t="s">
        <v>116</v>
      </c>
      <c r="B49" s="28" t="s">
        <v>73</v>
      </c>
      <c r="C49" s="28" t="s">
        <v>107</v>
      </c>
      <c r="D49" s="28" t="s">
        <v>49</v>
      </c>
      <c r="E49" s="66">
        <v>672</v>
      </c>
    </row>
    <row r="50" spans="1:5" ht="15">
      <c r="A50" s="28" t="s">
        <v>117</v>
      </c>
      <c r="B50" s="28" t="s">
        <v>73</v>
      </c>
      <c r="C50" s="28" t="s">
        <v>107</v>
      </c>
      <c r="D50" s="28" t="s">
        <v>80</v>
      </c>
      <c r="E50" s="66">
        <v>1108</v>
      </c>
    </row>
    <row r="51" spans="1:5" ht="15">
      <c r="A51" s="28" t="s">
        <v>118</v>
      </c>
      <c r="B51" s="28" t="s">
        <v>57</v>
      </c>
      <c r="C51" s="28" t="s">
        <v>107</v>
      </c>
      <c r="D51" s="28" t="s">
        <v>51</v>
      </c>
      <c r="E51" s="66">
        <v>768</v>
      </c>
    </row>
    <row r="52" spans="1:5" ht="15">
      <c r="A52" s="28" t="s">
        <v>119</v>
      </c>
      <c r="B52" s="28" t="s">
        <v>73</v>
      </c>
      <c r="C52" s="28" t="s">
        <v>107</v>
      </c>
      <c r="D52" s="28" t="s">
        <v>51</v>
      </c>
      <c r="E52" s="66">
        <v>1800</v>
      </c>
    </row>
    <row r="53" spans="1:5" ht="15">
      <c r="A53" s="28" t="s">
        <v>120</v>
      </c>
      <c r="B53" s="28" t="s">
        <v>66</v>
      </c>
      <c r="C53" s="28" t="s">
        <v>121</v>
      </c>
      <c r="D53" s="28" t="s">
        <v>38</v>
      </c>
      <c r="E53" s="66">
        <v>650</v>
      </c>
    </row>
    <row r="54" spans="1:5" ht="15">
      <c r="A54" s="28" t="s">
        <v>122</v>
      </c>
      <c r="B54" s="28" t="s">
        <v>66</v>
      </c>
      <c r="C54" s="28" t="s">
        <v>123</v>
      </c>
      <c r="D54" s="28" t="s">
        <v>88</v>
      </c>
      <c r="E54" s="66">
        <v>672.5</v>
      </c>
    </row>
    <row r="55" spans="1:5" ht="15">
      <c r="A55" s="28" t="s">
        <v>124</v>
      </c>
      <c r="B55" s="28" t="s">
        <v>73</v>
      </c>
      <c r="C55" s="28" t="s">
        <v>125</v>
      </c>
      <c r="D55" s="28" t="s">
        <v>103</v>
      </c>
      <c r="E55" s="66">
        <v>925</v>
      </c>
    </row>
    <row r="56" spans="1:5" ht="15">
      <c r="A56" s="28" t="s">
        <v>126</v>
      </c>
      <c r="B56" s="28" t="s">
        <v>73</v>
      </c>
      <c r="C56" s="28" t="s">
        <v>125</v>
      </c>
      <c r="D56" s="28" t="s">
        <v>62</v>
      </c>
      <c r="E56" s="66">
        <v>560</v>
      </c>
    </row>
    <row r="57" spans="1:5" ht="15">
      <c r="A57" s="28" t="s">
        <v>127</v>
      </c>
      <c r="B57" s="28" t="s">
        <v>73</v>
      </c>
      <c r="C57" s="28" t="s">
        <v>125</v>
      </c>
      <c r="D57" s="28" t="s">
        <v>69</v>
      </c>
      <c r="E57" s="66">
        <v>1744</v>
      </c>
    </row>
    <row r="58" spans="1:5" ht="15">
      <c r="A58" s="28" t="s">
        <v>128</v>
      </c>
      <c r="B58" s="28" t="s">
        <v>73</v>
      </c>
      <c r="C58" s="28" t="s">
        <v>125</v>
      </c>
      <c r="D58" s="28" t="s">
        <v>49</v>
      </c>
      <c r="E58" s="66">
        <v>2610</v>
      </c>
    </row>
    <row r="59" spans="1:5" ht="15">
      <c r="A59" s="28" t="s">
        <v>129</v>
      </c>
      <c r="B59" s="28" t="s">
        <v>73</v>
      </c>
      <c r="C59" s="28" t="s">
        <v>125</v>
      </c>
      <c r="D59" s="28" t="s">
        <v>80</v>
      </c>
      <c r="E59" s="66">
        <v>740</v>
      </c>
    </row>
    <row r="60" spans="1:5" ht="15">
      <c r="A60" s="28" t="s">
        <v>130</v>
      </c>
      <c r="B60" s="28" t="s">
        <v>73</v>
      </c>
      <c r="C60" s="28" t="s">
        <v>125</v>
      </c>
      <c r="D60" s="28" t="s">
        <v>51</v>
      </c>
      <c r="E60" s="66">
        <v>805</v>
      </c>
    </row>
    <row r="61" spans="1:5" ht="15">
      <c r="A61" s="28" t="s">
        <v>52</v>
      </c>
      <c r="B61" s="28" t="s">
        <v>47</v>
      </c>
      <c r="C61" s="28" t="s">
        <v>48</v>
      </c>
      <c r="D61" s="28" t="s">
        <v>51</v>
      </c>
      <c r="E61" s="66">
        <v>1335</v>
      </c>
    </row>
    <row r="62" spans="1:5" ht="15">
      <c r="A62" s="28" t="s">
        <v>53</v>
      </c>
      <c r="B62" s="28" t="s">
        <v>267</v>
      </c>
      <c r="C62" s="28" t="s">
        <v>54</v>
      </c>
      <c r="D62" s="28" t="s">
        <v>38</v>
      </c>
      <c r="E62" s="66">
        <v>532.5</v>
      </c>
    </row>
    <row r="63" spans="1:5" ht="15">
      <c r="A63" s="28" t="s">
        <v>55</v>
      </c>
      <c r="B63" s="28" t="s">
        <v>267</v>
      </c>
      <c r="C63" s="28" t="s">
        <v>54</v>
      </c>
      <c r="D63" s="28" t="s">
        <v>38</v>
      </c>
      <c r="E63" s="66">
        <v>643.75</v>
      </c>
    </row>
    <row r="64" spans="1:5" ht="15">
      <c r="A64" s="28" t="s">
        <v>56</v>
      </c>
      <c r="B64" s="28" t="s">
        <v>57</v>
      </c>
      <c r="C64" s="28" t="s">
        <v>58</v>
      </c>
      <c r="D64" s="28" t="s">
        <v>38</v>
      </c>
      <c r="E64" s="66">
        <v>1290</v>
      </c>
    </row>
    <row r="65" spans="1:5" ht="15">
      <c r="A65" s="28" t="s">
        <v>59</v>
      </c>
      <c r="B65" s="28" t="s">
        <v>57</v>
      </c>
      <c r="C65" s="28" t="s">
        <v>58</v>
      </c>
      <c r="D65" s="28" t="s">
        <v>60</v>
      </c>
      <c r="E65" s="66">
        <v>1900</v>
      </c>
    </row>
    <row r="66" spans="1:5" ht="15">
      <c r="A66" s="28" t="s">
        <v>61</v>
      </c>
      <c r="B66" s="28" t="s">
        <v>57</v>
      </c>
      <c r="C66" s="28" t="s">
        <v>58</v>
      </c>
      <c r="D66" s="28" t="s">
        <v>62</v>
      </c>
      <c r="E66" s="66">
        <v>1968</v>
      </c>
    </row>
    <row r="67" spans="1:5" ht="15">
      <c r="A67" s="28" t="s">
        <v>63</v>
      </c>
      <c r="B67" s="28" t="s">
        <v>57</v>
      </c>
      <c r="C67" s="28" t="s">
        <v>58</v>
      </c>
      <c r="D67" s="28" t="s">
        <v>62</v>
      </c>
      <c r="E67" s="66">
        <v>1980</v>
      </c>
    </row>
    <row r="68" spans="1:5" ht="15">
      <c r="A68" s="28" t="s">
        <v>64</v>
      </c>
      <c r="B68" s="28" t="s">
        <v>215</v>
      </c>
      <c r="C68" s="28" t="s">
        <v>58</v>
      </c>
      <c r="D68" s="28" t="s">
        <v>51</v>
      </c>
      <c r="E68" s="66">
        <v>1443.75</v>
      </c>
    </row>
    <row r="69" spans="1:5" ht="15">
      <c r="A69" s="28" t="s">
        <v>65</v>
      </c>
      <c r="B69" s="28" t="s">
        <v>66</v>
      </c>
      <c r="C69" s="28" t="s">
        <v>67</v>
      </c>
      <c r="D69" s="28" t="s">
        <v>62</v>
      </c>
      <c r="E69" s="66">
        <v>567.5</v>
      </c>
    </row>
    <row r="70" spans="1:5" ht="15">
      <c r="A70" s="28" t="s">
        <v>68</v>
      </c>
      <c r="B70" s="28" t="s">
        <v>66</v>
      </c>
      <c r="C70" s="28" t="s">
        <v>67</v>
      </c>
      <c r="D70" s="28" t="s">
        <v>69</v>
      </c>
      <c r="E70" s="66">
        <v>537.5</v>
      </c>
    </row>
    <row r="71" spans="1:5" ht="15">
      <c r="A71" s="28" t="s">
        <v>70</v>
      </c>
      <c r="B71" s="28" t="s">
        <v>215</v>
      </c>
      <c r="C71" s="28" t="s">
        <v>71</v>
      </c>
      <c r="D71" s="28" t="s">
        <v>69</v>
      </c>
      <c r="E71" s="66">
        <v>1470</v>
      </c>
    </row>
    <row r="72" spans="1:5" ht="15">
      <c r="A72" s="28" t="s">
        <v>72</v>
      </c>
      <c r="B72" s="28" t="s">
        <v>73</v>
      </c>
      <c r="C72" s="28" t="s">
        <v>74</v>
      </c>
      <c r="D72" s="28" t="s">
        <v>60</v>
      </c>
      <c r="E72" s="66">
        <v>670</v>
      </c>
    </row>
    <row r="73" spans="1:5" ht="15">
      <c r="A73" s="28" t="s">
        <v>75</v>
      </c>
      <c r="B73" s="28" t="s">
        <v>73</v>
      </c>
      <c r="C73" s="28" t="s">
        <v>74</v>
      </c>
      <c r="D73" s="28" t="s">
        <v>76</v>
      </c>
      <c r="E73" s="66">
        <v>2012</v>
      </c>
    </row>
    <row r="74" spans="1:5" ht="15">
      <c r="A74" s="28" t="s">
        <v>77</v>
      </c>
      <c r="B74" s="28" t="s">
        <v>215</v>
      </c>
      <c r="C74" s="28" t="s">
        <v>74</v>
      </c>
      <c r="D74" s="28" t="s">
        <v>49</v>
      </c>
      <c r="E74" s="66">
        <v>1500.625</v>
      </c>
    </row>
    <row r="75" spans="1:5" ht="15">
      <c r="A75" s="28" t="s">
        <v>78</v>
      </c>
      <c r="B75" s="28" t="s">
        <v>73</v>
      </c>
      <c r="C75" s="28" t="s">
        <v>79</v>
      </c>
      <c r="D75" s="28" t="s">
        <v>80</v>
      </c>
      <c r="E75" s="66">
        <v>1945</v>
      </c>
    </row>
    <row r="76" spans="1:5" ht="15">
      <c r="A76" s="28" t="s">
        <v>81</v>
      </c>
      <c r="B76" s="28" t="s">
        <v>267</v>
      </c>
      <c r="C76" s="28" t="s">
        <v>82</v>
      </c>
      <c r="D76" s="28" t="s">
        <v>60</v>
      </c>
      <c r="E76" s="66">
        <v>638.75</v>
      </c>
    </row>
    <row r="77" spans="1:5" ht="15">
      <c r="A77" s="28" t="s">
        <v>83</v>
      </c>
      <c r="B77" s="28" t="s">
        <v>84</v>
      </c>
      <c r="C77" s="28" t="s">
        <v>85</v>
      </c>
      <c r="D77" s="28" t="s">
        <v>38</v>
      </c>
      <c r="E77" s="66">
        <v>858.75</v>
      </c>
    </row>
    <row r="78" spans="1:5" ht="15">
      <c r="A78" s="28" t="s">
        <v>86</v>
      </c>
      <c r="B78" s="28" t="s">
        <v>84</v>
      </c>
      <c r="C78" s="28" t="s">
        <v>85</v>
      </c>
      <c r="D78" s="28" t="s">
        <v>40</v>
      </c>
      <c r="E78" s="66">
        <v>1713.75</v>
      </c>
    </row>
    <row r="79" spans="1:5" ht="15">
      <c r="A79" s="28" t="s">
        <v>87</v>
      </c>
      <c r="B79" s="28" t="s">
        <v>84</v>
      </c>
      <c r="C79" s="28" t="s">
        <v>85</v>
      </c>
      <c r="D79" s="28" t="s">
        <v>88</v>
      </c>
      <c r="E79" s="66">
        <v>866.25</v>
      </c>
    </row>
    <row r="80" spans="1:5" ht="15">
      <c r="A80" s="28" t="s">
        <v>89</v>
      </c>
      <c r="B80" s="28" t="s">
        <v>84</v>
      </c>
      <c r="C80" s="28" t="s">
        <v>85</v>
      </c>
      <c r="D80" s="28" t="s">
        <v>80</v>
      </c>
      <c r="E80" s="66">
        <v>1121.25</v>
      </c>
    </row>
    <row r="81" spans="1:5" ht="15">
      <c r="A81" s="28" t="s">
        <v>90</v>
      </c>
      <c r="B81" s="28" t="s">
        <v>73</v>
      </c>
      <c r="C81" s="28" t="s">
        <v>91</v>
      </c>
      <c r="D81" s="28" t="s">
        <v>76</v>
      </c>
      <c r="E81" s="66">
        <v>2260</v>
      </c>
    </row>
    <row r="82" spans="1:5" ht="15">
      <c r="A82" s="28" t="s">
        <v>92</v>
      </c>
      <c r="B82" s="28" t="s">
        <v>57</v>
      </c>
      <c r="C82" s="28" t="s">
        <v>91</v>
      </c>
      <c r="D82" s="28" t="s">
        <v>88</v>
      </c>
      <c r="E82" s="66">
        <v>772</v>
      </c>
    </row>
    <row r="83" spans="1:5" ht="15">
      <c r="A83" s="28" t="s">
        <v>93</v>
      </c>
      <c r="B83" s="28" t="s">
        <v>267</v>
      </c>
      <c r="C83" s="28" t="s">
        <v>91</v>
      </c>
      <c r="D83" s="28" t="s">
        <v>51</v>
      </c>
      <c r="E83" s="66">
        <v>637.5</v>
      </c>
    </row>
    <row r="84" spans="1:5" ht="15">
      <c r="A84" s="28" t="s">
        <v>94</v>
      </c>
      <c r="B84" s="28" t="s">
        <v>73</v>
      </c>
      <c r="C84" s="28" t="s">
        <v>95</v>
      </c>
      <c r="D84" s="28" t="s">
        <v>38</v>
      </c>
      <c r="E84" s="66">
        <v>2030</v>
      </c>
    </row>
    <row r="85" spans="1:5" ht="15">
      <c r="A85" s="28" t="s">
        <v>96</v>
      </c>
      <c r="B85" s="28" t="s">
        <v>73</v>
      </c>
      <c r="C85" s="28" t="s">
        <v>95</v>
      </c>
      <c r="D85" s="28" t="s">
        <v>80</v>
      </c>
      <c r="E85" s="66">
        <v>1844</v>
      </c>
    </row>
    <row r="86" spans="1:5" ht="15">
      <c r="A86" s="28" t="s">
        <v>97</v>
      </c>
      <c r="B86" s="28" t="s">
        <v>73</v>
      </c>
      <c r="C86" s="28" t="s">
        <v>95</v>
      </c>
      <c r="D86" s="28" t="s">
        <v>80</v>
      </c>
      <c r="E86" s="66">
        <v>1648</v>
      </c>
    </row>
    <row r="87" spans="1:5" ht="15">
      <c r="A87" s="28" t="s">
        <v>98</v>
      </c>
      <c r="B87" s="28" t="s">
        <v>215</v>
      </c>
      <c r="C87" s="28" t="s">
        <v>99</v>
      </c>
      <c r="D87" s="28" t="s">
        <v>80</v>
      </c>
      <c r="E87" s="66">
        <v>1789.375</v>
      </c>
    </row>
  </sheetData>
  <autoFilter ref="A2:E87"/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zoomScale="115" zoomScaleNormal="115" workbookViewId="0">
      <selection activeCell="D17" sqref="D17"/>
    </sheetView>
  </sheetViews>
  <sheetFormatPr defaultRowHeight="14.25"/>
  <cols>
    <col min="1" max="1" width="26" bestFit="1" customWidth="1"/>
    <col min="2" max="2" width="27" customWidth="1"/>
    <col min="3" max="3" width="37.625" customWidth="1"/>
    <col min="4" max="4" width="27.375" customWidth="1"/>
  </cols>
  <sheetData>
    <row r="1" spans="1:4" ht="15.75">
      <c r="A1" s="11" t="s">
        <v>30</v>
      </c>
      <c r="B1" t="s">
        <v>217</v>
      </c>
      <c r="C1" t="s">
        <v>218</v>
      </c>
      <c r="D1" t="s">
        <v>219</v>
      </c>
    </row>
    <row r="2" spans="1:4" ht="15">
      <c r="A2" s="1" t="s">
        <v>221</v>
      </c>
      <c r="B2" t="str">
        <f>UPPER(A2)</f>
        <v>FELIPE GRILETI PINOTTI</v>
      </c>
      <c r="C2" t="str">
        <f>LOWER(A2)</f>
        <v>felipe grileti pinotti</v>
      </c>
      <c r="D2" t="str">
        <f>PROPER(A2)</f>
        <v>Felipe Grileti Pinotti</v>
      </c>
    </row>
    <row r="3" spans="1:4" ht="15">
      <c r="A3" s="1" t="s">
        <v>39</v>
      </c>
      <c r="B3" t="str">
        <f t="shared" ref="B3:B15" si="0">UPPER(A3)</f>
        <v>ALBERTO BONFIM GOMES</v>
      </c>
      <c r="C3" t="str">
        <f t="shared" ref="C3:C15" si="1">LOWER(A3)</f>
        <v>alberto bonfim gomes</v>
      </c>
      <c r="D3" t="str">
        <f t="shared" ref="D3:D15" si="2">PROPER(A3)</f>
        <v>Alberto Bonfim Gomes</v>
      </c>
    </row>
    <row r="4" spans="1:4" ht="15">
      <c r="A4" s="1" t="s">
        <v>41</v>
      </c>
      <c r="B4" t="str">
        <f t="shared" si="0"/>
        <v>ALBERTO TEODORO ROCHA</v>
      </c>
      <c r="C4" t="str">
        <f t="shared" si="1"/>
        <v>alberto teodoro rocha</v>
      </c>
      <c r="D4" t="str">
        <f t="shared" si="2"/>
        <v>Alberto Teodoro Rocha</v>
      </c>
    </row>
    <row r="5" spans="1:4" ht="15">
      <c r="A5" s="1" t="s">
        <v>42</v>
      </c>
      <c r="B5" t="str">
        <f t="shared" si="0"/>
        <v>ALBERTO MACEDO DE SÁ</v>
      </c>
      <c r="C5" t="str">
        <f t="shared" si="1"/>
        <v>alberto macedo de sá</v>
      </c>
      <c r="D5" t="str">
        <f t="shared" si="2"/>
        <v>Alberto Macedo De Sá</v>
      </c>
    </row>
    <row r="6" spans="1:4" ht="15">
      <c r="A6" s="1" t="s">
        <v>220</v>
      </c>
      <c r="B6" t="str">
        <f t="shared" si="0"/>
        <v>GILSON FERNANDES VICTOR</v>
      </c>
      <c r="C6" t="str">
        <f t="shared" si="1"/>
        <v>gilson fernandes victor</v>
      </c>
      <c r="D6" t="str">
        <f t="shared" si="2"/>
        <v>Gilson Fernandes Victor</v>
      </c>
    </row>
    <row r="7" spans="1:4" ht="15">
      <c r="A7" s="1" t="s">
        <v>50</v>
      </c>
      <c r="B7" t="str">
        <f t="shared" si="0"/>
        <v>AGENOR TANAKA VICTOR</v>
      </c>
      <c r="C7" t="str">
        <f t="shared" si="1"/>
        <v>agenor tanaka victor</v>
      </c>
      <c r="D7" t="str">
        <f t="shared" si="2"/>
        <v>Agenor Tanaka Victor</v>
      </c>
    </row>
    <row r="8" spans="1:4" ht="15">
      <c r="A8" s="1" t="s">
        <v>52</v>
      </c>
      <c r="B8" t="str">
        <f t="shared" si="0"/>
        <v>CECILIA MELLO RAINERI</v>
      </c>
      <c r="C8" t="str">
        <f t="shared" si="1"/>
        <v>cecilia mello raineri</v>
      </c>
      <c r="D8" t="str">
        <f t="shared" si="2"/>
        <v>Cecilia Mello Raineri</v>
      </c>
    </row>
    <row r="9" spans="1:4" ht="15">
      <c r="A9" s="1" t="s">
        <v>224</v>
      </c>
      <c r="B9" t="str">
        <f t="shared" si="0"/>
        <v>FABIO LOPES MELEIRO</v>
      </c>
      <c r="C9" t="str">
        <f t="shared" si="1"/>
        <v>fabio lopes meleiro</v>
      </c>
      <c r="D9" t="str">
        <f t="shared" si="2"/>
        <v>Fabio Lopes Meleiro</v>
      </c>
    </row>
    <row r="10" spans="1:4" ht="15">
      <c r="A10" s="1" t="s">
        <v>55</v>
      </c>
      <c r="B10" t="str">
        <f t="shared" si="0"/>
        <v>GILSON HERNANDEZ PINHO</v>
      </c>
      <c r="C10" t="str">
        <f t="shared" si="1"/>
        <v>gilson hernandez pinho</v>
      </c>
      <c r="D10" t="str">
        <f t="shared" si="2"/>
        <v>Gilson Hernandez Pinho</v>
      </c>
    </row>
    <row r="11" spans="1:4" ht="15">
      <c r="A11" s="1" t="s">
        <v>223</v>
      </c>
      <c r="B11" t="str">
        <f t="shared" si="0"/>
        <v>GILSON TEODORO TOLEDO</v>
      </c>
      <c r="C11" t="str">
        <f t="shared" si="1"/>
        <v>gilson teodoro toledo</v>
      </c>
      <c r="D11" t="str">
        <f t="shared" si="2"/>
        <v>Gilson Teodoro Toledo</v>
      </c>
    </row>
    <row r="12" spans="1:4" ht="15">
      <c r="A12" s="1" t="s">
        <v>59</v>
      </c>
      <c r="B12" t="str">
        <f t="shared" si="0"/>
        <v>ANTONIO MENDONCA GOMES</v>
      </c>
      <c r="C12" t="str">
        <f t="shared" si="1"/>
        <v>antonio mendonca gomes</v>
      </c>
      <c r="D12" t="str">
        <f t="shared" si="2"/>
        <v>Antonio Mendonca Gomes</v>
      </c>
    </row>
    <row r="13" spans="1:4" ht="15">
      <c r="A13" s="1" t="s">
        <v>61</v>
      </c>
      <c r="B13" t="str">
        <f t="shared" si="0"/>
        <v>CECILIA ROSA GASTELAR</v>
      </c>
      <c r="C13" t="str">
        <f t="shared" si="1"/>
        <v>cecilia rosa gastelar</v>
      </c>
      <c r="D13" t="str">
        <f t="shared" si="2"/>
        <v>Cecilia Rosa Gastelar</v>
      </c>
    </row>
    <row r="14" spans="1:4" ht="15">
      <c r="A14" s="1" t="s">
        <v>222</v>
      </c>
      <c r="B14" t="str">
        <f t="shared" si="0"/>
        <v>IVAN SAAD MAGALHAES</v>
      </c>
      <c r="C14" t="str">
        <f t="shared" si="1"/>
        <v>ivan saad magalhaes</v>
      </c>
      <c r="D14" t="str">
        <f t="shared" si="2"/>
        <v>Ivan Saad Magalhaes</v>
      </c>
    </row>
    <row r="15" spans="1:4" ht="15">
      <c r="A15" s="1" t="s">
        <v>64</v>
      </c>
      <c r="B15" t="str">
        <f t="shared" si="0"/>
        <v>JAIME AMORIM BARTIRA</v>
      </c>
      <c r="C15" t="str">
        <f t="shared" si="1"/>
        <v>jaime amorim bartira</v>
      </c>
      <c r="D15" t="str">
        <f t="shared" si="2"/>
        <v>Jaime Amorim Bartira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zoomScale="115" zoomScaleNormal="115" workbookViewId="0">
      <selection activeCell="B11" sqref="B11"/>
    </sheetView>
  </sheetViews>
  <sheetFormatPr defaultRowHeight="14.25"/>
  <cols>
    <col min="1" max="1" width="11.375" bestFit="1" customWidth="1"/>
    <col min="2" max="2" width="35.625" style="73" bestFit="1" customWidth="1"/>
    <col min="3" max="3" width="31.625" customWidth="1"/>
    <col min="5" max="5" width="80.625" bestFit="1" customWidth="1"/>
  </cols>
  <sheetData>
    <row r="1" spans="1:5" ht="15">
      <c r="A1" s="67" t="s">
        <v>225</v>
      </c>
      <c r="B1" s="68" t="s">
        <v>226</v>
      </c>
      <c r="C1" s="67" t="s">
        <v>227</v>
      </c>
    </row>
    <row r="2" spans="1:5">
      <c r="A2" s="69" t="s">
        <v>228</v>
      </c>
      <c r="B2" s="70" t="s">
        <v>229</v>
      </c>
      <c r="C2" s="69" t="str">
        <f>CONCATENATE(A2," ",B2)</f>
        <v>Marta Silva</v>
      </c>
    </row>
    <row r="3" spans="1:5">
      <c r="A3" s="69" t="s">
        <v>230</v>
      </c>
      <c r="B3" s="70" t="s">
        <v>231</v>
      </c>
      <c r="C3" s="69" t="str">
        <f t="shared" ref="C3:C4" si="0">CONCATENATE(A3," ",B3)</f>
        <v>josé Lopes</v>
      </c>
      <c r="E3" t="s">
        <v>232</v>
      </c>
    </row>
    <row r="4" spans="1:5">
      <c r="A4" s="69" t="s">
        <v>233</v>
      </c>
      <c r="B4" s="70" t="s">
        <v>234</v>
      </c>
      <c r="C4" s="69" t="str">
        <f t="shared" si="0"/>
        <v>marcos Santos</v>
      </c>
      <c r="E4" t="s">
        <v>235</v>
      </c>
    </row>
    <row r="8" spans="1:5" ht="15">
      <c r="A8" s="71" t="s">
        <v>236</v>
      </c>
      <c r="B8" s="72" t="s">
        <v>237</v>
      </c>
    </row>
    <row r="9" spans="1:5">
      <c r="A9" t="s">
        <v>238</v>
      </c>
      <c r="B9" s="73" t="str">
        <f>CONCATENATE("O time ",A9, " é de Minas Gerais")</f>
        <v>O time Atletico MG é de Minas Gerais</v>
      </c>
    </row>
    <row r="10" spans="1:5">
      <c r="A10" t="s">
        <v>239</v>
      </c>
      <c r="B10" s="73" t="str">
        <f>CONCATENATE("O time ",A10, " é de Minas Gerais também")</f>
        <v>O time Cruzeiro é de Minas Gerais também</v>
      </c>
    </row>
    <row r="12" spans="1:5" ht="15.75">
      <c r="A12" s="74" t="s">
        <v>240</v>
      </c>
      <c r="B12" s="73" t="s">
        <v>241</v>
      </c>
    </row>
    <row r="14" spans="1:5" ht="15">
      <c r="A14" s="71" t="s">
        <v>242</v>
      </c>
      <c r="B14" s="72" t="s">
        <v>243</v>
      </c>
      <c r="C14" s="71" t="s">
        <v>244</v>
      </c>
    </row>
    <row r="15" spans="1:5">
      <c r="A15" t="s">
        <v>245</v>
      </c>
      <c r="B15" s="73">
        <v>34</v>
      </c>
      <c r="C15" t="str">
        <f>"Rua "&amp; A15&amp;" "&amp;B15</f>
        <v>Rua Ladeira 34</v>
      </c>
    </row>
    <row r="16" spans="1:5">
      <c r="A16" t="s">
        <v>246</v>
      </c>
      <c r="B16" s="73">
        <v>25</v>
      </c>
      <c r="C16" t="str">
        <f>"Rua "&amp; A16&amp;" "&amp;B16</f>
        <v>Rua Alameda 25</v>
      </c>
    </row>
    <row r="17" spans="1:3">
      <c r="A17" t="s">
        <v>268</v>
      </c>
      <c r="B17" s="73">
        <v>1000</v>
      </c>
      <c r="C17" t="str">
        <f t="shared" ref="C17" si="1">A17&amp;" "&amp;B17</f>
        <v>Av.Paulista 1000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zoomScaleNormal="100" workbookViewId="0">
      <selection activeCell="B7" sqref="B7"/>
    </sheetView>
  </sheetViews>
  <sheetFormatPr defaultRowHeight="14.25"/>
  <cols>
    <col min="1" max="1" width="80.75" bestFit="1" customWidth="1"/>
    <col min="2" max="2" width="23.375" bestFit="1" customWidth="1"/>
    <col min="3" max="3" width="15.875" bestFit="1" customWidth="1"/>
    <col min="4" max="4" width="23.375" bestFit="1" customWidth="1"/>
  </cols>
  <sheetData>
    <row r="1" spans="1:7" ht="18.75" thickBot="1">
      <c r="A1" s="75" t="s">
        <v>247</v>
      </c>
      <c r="B1" s="76"/>
    </row>
    <row r="2" spans="1:7" ht="18.75" thickBot="1">
      <c r="A2" s="77" t="s">
        <v>248</v>
      </c>
      <c r="B2" s="78" t="s">
        <v>249</v>
      </c>
    </row>
    <row r="3" spans="1:7" ht="18.75" thickBot="1">
      <c r="A3" s="77" t="s">
        <v>250</v>
      </c>
      <c r="B3" s="79">
        <f ca="1">NOW()</f>
        <v>46219.660608101854</v>
      </c>
      <c r="C3" s="80"/>
    </row>
    <row r="4" spans="1:7" ht="18.75" thickBot="1">
      <c r="A4" s="77" t="s">
        <v>251</v>
      </c>
      <c r="B4" s="79">
        <f ca="1">NOW()+15</f>
        <v>46234.660608101854</v>
      </c>
      <c r="C4" s="80"/>
    </row>
    <row r="5" spans="1:7" ht="18.75" thickBot="1">
      <c r="A5" s="77" t="s">
        <v>252</v>
      </c>
      <c r="B5" s="79">
        <f ca="1">NOW() - 0.5</f>
        <v>46219.160608101854</v>
      </c>
      <c r="C5" s="85"/>
      <c r="G5">
        <f>12/24</f>
        <v>0.5</v>
      </c>
    </row>
    <row r="6" spans="1:7" ht="18.75" thickBot="1">
      <c r="A6" s="81" t="s">
        <v>253</v>
      </c>
      <c r="B6" s="82">
        <f ca="1">NOW() - 2.25</f>
        <v>46217.410608101854</v>
      </c>
      <c r="D6" s="82"/>
      <c r="G6">
        <f>6/24</f>
        <v>0.25</v>
      </c>
    </row>
    <row r="7" spans="1:7" ht="18.75" thickBot="1">
      <c r="A7" s="81" t="s">
        <v>254</v>
      </c>
      <c r="B7" s="82">
        <f ca="1">NOW() + 2 + (8/24)</f>
        <v>46221.99394143519</v>
      </c>
    </row>
    <row r="10" spans="1:7">
      <c r="B10" s="165"/>
    </row>
    <row r="12" spans="1:7">
      <c r="B12" s="73"/>
      <c r="C12" s="73"/>
    </row>
    <row r="13" spans="1:7">
      <c r="B13" s="73"/>
      <c r="C13" s="83"/>
    </row>
    <row r="14" spans="1:7">
      <c r="B14" s="73"/>
      <c r="C14" s="73"/>
    </row>
    <row r="15" spans="1:7">
      <c r="B15" s="73"/>
      <c r="C15" s="73"/>
    </row>
    <row r="16" spans="1:7">
      <c r="B16" s="73"/>
      <c r="C16" s="83"/>
    </row>
    <row r="17" spans="1:3">
      <c r="B17" s="73"/>
      <c r="C17" s="73"/>
    </row>
    <row r="18" spans="1:3">
      <c r="A18">
        <f>24/8</f>
        <v>3</v>
      </c>
    </row>
    <row r="19" spans="1:3">
      <c r="A19">
        <v>2.33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J19"/>
  <sheetViews>
    <sheetView topLeftCell="F1" zoomScale="85" zoomScaleNormal="85" workbookViewId="0">
      <selection activeCell="I12" sqref="I12"/>
    </sheetView>
  </sheetViews>
  <sheetFormatPr defaultRowHeight="14.25"/>
  <cols>
    <col min="1" max="1" width="16.125" bestFit="1" customWidth="1"/>
    <col min="2" max="5" width="11.125" style="61" customWidth="1"/>
    <col min="6" max="6" width="16.25" bestFit="1" customWidth="1"/>
    <col min="8" max="8" width="9.375" customWidth="1"/>
    <col min="9" max="9" width="131" bestFit="1" customWidth="1"/>
    <col min="10" max="10" width="15.25" bestFit="1" customWidth="1"/>
  </cols>
  <sheetData>
    <row r="2" spans="1:10">
      <c r="I2" t="s">
        <v>263</v>
      </c>
    </row>
    <row r="3" spans="1:10" ht="16.5">
      <c r="A3" s="39" t="s">
        <v>255</v>
      </c>
      <c r="B3" s="44" t="s">
        <v>256</v>
      </c>
      <c r="C3" s="44" t="s">
        <v>257</v>
      </c>
      <c r="D3" s="44" t="s">
        <v>258</v>
      </c>
      <c r="E3" s="44" t="s">
        <v>259</v>
      </c>
      <c r="H3" s="84"/>
      <c r="I3" s="88" t="s">
        <v>260</v>
      </c>
      <c r="J3" s="84">
        <v>46218</v>
      </c>
    </row>
    <row r="4" spans="1:10" ht="16.5">
      <c r="A4" s="86">
        <v>0.37190972222222224</v>
      </c>
      <c r="B4" s="62">
        <f>HOUR(A4)</f>
        <v>8</v>
      </c>
      <c r="C4" s="62">
        <f>MINUTE(A4)</f>
        <v>55</v>
      </c>
      <c r="D4" s="62">
        <f>SECOND(A4)</f>
        <v>33</v>
      </c>
      <c r="E4" s="87">
        <f>TIME(B4,C4,D4)</f>
        <v>0.37190972222222224</v>
      </c>
      <c r="I4" s="88" t="s">
        <v>261</v>
      </c>
      <c r="J4" s="89">
        <v>0.76666666666666661</v>
      </c>
    </row>
    <row r="5" spans="1:10" ht="16.5">
      <c r="A5" s="86">
        <v>0.64155092592592589</v>
      </c>
      <c r="B5" s="62">
        <f t="shared" ref="B5:B12" si="0">HOUR(A5)</f>
        <v>15</v>
      </c>
      <c r="C5" s="62">
        <f t="shared" ref="C5:C12" si="1">MINUTE(A5)</f>
        <v>23</v>
      </c>
      <c r="D5" s="62">
        <f t="shared" ref="D5:D12" si="2">SECOND(A5)</f>
        <v>50</v>
      </c>
      <c r="E5" s="87">
        <f t="shared" ref="E5:E12" si="3">TIME(B5,C5,D5)</f>
        <v>0.64155092592592589</v>
      </c>
      <c r="I5" s="88" t="s">
        <v>262</v>
      </c>
      <c r="J5" s="80">
        <v>46218.76666666667</v>
      </c>
    </row>
    <row r="6" spans="1:10" ht="15">
      <c r="A6" s="86">
        <v>0.70993055555555562</v>
      </c>
      <c r="B6" s="62">
        <f t="shared" si="0"/>
        <v>17</v>
      </c>
      <c r="C6" s="62">
        <f t="shared" si="1"/>
        <v>2</v>
      </c>
      <c r="D6" s="62">
        <f t="shared" si="2"/>
        <v>18</v>
      </c>
      <c r="E6" s="87">
        <f t="shared" si="3"/>
        <v>0.70993055555555551</v>
      </c>
    </row>
    <row r="7" spans="1:10" ht="15">
      <c r="A7" s="86">
        <v>0.3845601851851852</v>
      </c>
      <c r="B7" s="62">
        <f t="shared" si="0"/>
        <v>9</v>
      </c>
      <c r="C7" s="62">
        <f t="shared" si="1"/>
        <v>13</v>
      </c>
      <c r="D7" s="62">
        <f t="shared" si="2"/>
        <v>46</v>
      </c>
      <c r="E7" s="87">
        <f t="shared" si="3"/>
        <v>0.3845601851851852</v>
      </c>
    </row>
    <row r="8" spans="1:10" ht="15">
      <c r="A8" s="86">
        <v>0.99998842592592585</v>
      </c>
      <c r="B8" s="62">
        <f t="shared" si="0"/>
        <v>23</v>
      </c>
      <c r="C8" s="62">
        <f t="shared" si="1"/>
        <v>59</v>
      </c>
      <c r="D8" s="62">
        <f t="shared" si="2"/>
        <v>59</v>
      </c>
      <c r="E8" s="87">
        <f t="shared" si="3"/>
        <v>0.99998842592592596</v>
      </c>
    </row>
    <row r="9" spans="1:10" ht="15">
      <c r="A9" s="86">
        <v>0.85920138888888886</v>
      </c>
      <c r="B9" s="62">
        <f t="shared" si="0"/>
        <v>20</v>
      </c>
      <c r="C9" s="62">
        <f t="shared" si="1"/>
        <v>37</v>
      </c>
      <c r="D9" s="62">
        <f t="shared" si="2"/>
        <v>15</v>
      </c>
      <c r="E9" s="87">
        <f t="shared" si="3"/>
        <v>0.85920138888888886</v>
      </c>
    </row>
    <row r="10" spans="1:10" ht="15">
      <c r="A10" s="86">
        <v>9.7002314814814805E-2</v>
      </c>
      <c r="B10" s="62">
        <f t="shared" si="0"/>
        <v>2</v>
      </c>
      <c r="C10" s="62">
        <f t="shared" si="1"/>
        <v>19</v>
      </c>
      <c r="D10" s="62">
        <f t="shared" si="2"/>
        <v>41</v>
      </c>
      <c r="E10" s="87">
        <f t="shared" si="3"/>
        <v>9.7002314814814819E-2</v>
      </c>
    </row>
    <row r="11" spans="1:10" ht="15">
      <c r="A11" s="86">
        <v>0.23263888888888887</v>
      </c>
      <c r="B11" s="62">
        <f t="shared" si="0"/>
        <v>5</v>
      </c>
      <c r="C11" s="62">
        <f t="shared" si="1"/>
        <v>35</v>
      </c>
      <c r="D11" s="62">
        <f t="shared" si="2"/>
        <v>0</v>
      </c>
      <c r="E11" s="87">
        <f t="shared" si="3"/>
        <v>0.2326388888888889</v>
      </c>
    </row>
    <row r="12" spans="1:10" ht="15">
      <c r="A12" s="86">
        <v>0.75011574074074072</v>
      </c>
      <c r="B12" s="62">
        <f t="shared" si="0"/>
        <v>18</v>
      </c>
      <c r="C12" s="62">
        <f t="shared" si="1"/>
        <v>0</v>
      </c>
      <c r="D12" s="62">
        <f t="shared" si="2"/>
        <v>10</v>
      </c>
      <c r="E12" s="87">
        <f t="shared" si="3"/>
        <v>0.75011574074074072</v>
      </c>
    </row>
    <row r="13" spans="1:10">
      <c r="A13" s="80">
        <f ca="1">NOW()</f>
        <v>46219.660608101854</v>
      </c>
      <c r="B13" s="61">
        <f ca="1">HOUR(A13)</f>
        <v>15</v>
      </c>
    </row>
    <row r="16" spans="1:10" ht="15.75">
      <c r="A16" s="39" t="s">
        <v>264</v>
      </c>
      <c r="B16" s="44" t="s">
        <v>256</v>
      </c>
      <c r="C16" s="44" t="s">
        <v>257</v>
      </c>
      <c r="D16" s="44" t="s">
        <v>258</v>
      </c>
      <c r="F16" s="84">
        <v>45481</v>
      </c>
    </row>
    <row r="17" spans="1:8">
      <c r="A17" s="80">
        <f ca="1">NOW()</f>
        <v>46219.660608101854</v>
      </c>
      <c r="B17" s="61">
        <f ca="1">HOUR(A17)</f>
        <v>15</v>
      </c>
      <c r="C17" s="61">
        <f ca="1">MINUTE(A17)</f>
        <v>51</v>
      </c>
      <c r="D17" s="61">
        <f ca="1">SECOND(A17)</f>
        <v>17</v>
      </c>
      <c r="F17" s="89">
        <v>0.83263888888888893</v>
      </c>
      <c r="G17" s="90" t="s">
        <v>265</v>
      </c>
      <c r="H17" s="80"/>
    </row>
    <row r="18" spans="1:8">
      <c r="F18" s="80">
        <v>45481.833333333336</v>
      </c>
    </row>
    <row r="19" spans="1:8">
      <c r="F19" s="80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Gráficos</vt:lpstr>
      </vt:variant>
      <vt:variant>
        <vt:i4>1</vt:i4>
      </vt:variant>
    </vt:vector>
  </HeadingPairs>
  <TitlesOfParts>
    <vt:vector size="15" baseType="lpstr">
      <vt:lpstr>Planilha1</vt:lpstr>
      <vt:lpstr>1° exercício Formataçao de text</vt:lpstr>
      <vt:lpstr>2°  Congelar linha </vt:lpstr>
      <vt:lpstr>3° Congelar coluna</vt:lpstr>
      <vt:lpstr>4° Funcoes Matematicas</vt:lpstr>
      <vt:lpstr>5° F.Valores</vt:lpstr>
      <vt:lpstr>6° % no Excel</vt:lpstr>
      <vt:lpstr>7° Relativas e Absolutas</vt:lpstr>
      <vt:lpstr>8° Data  </vt:lpstr>
      <vt:lpstr>9° Localizar</vt:lpstr>
      <vt:lpstr>10° MAIÚSCULA &amp; MINUSCULA</vt:lpstr>
      <vt:lpstr>11° Concatenar</vt:lpstr>
      <vt:lpstr>12°Agora</vt:lpstr>
      <vt:lpstr>13° Hora</vt:lpstr>
      <vt:lpstr>Gráf1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Alves</dc:creator>
  <cp:lastModifiedBy>André Luvizotto</cp:lastModifiedBy>
  <dcterms:created xsi:type="dcterms:W3CDTF">2024-07-02T23:00:28Z</dcterms:created>
  <dcterms:modified xsi:type="dcterms:W3CDTF">2026-07-16T18:51:28Z</dcterms:modified>
</cp:coreProperties>
</file>